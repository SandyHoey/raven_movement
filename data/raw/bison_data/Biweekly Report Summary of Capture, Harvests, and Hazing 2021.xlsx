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8"/>
  <workbookPr defaultThemeVersion="124226"/>
  <mc:AlternateContent xmlns:mc="http://schemas.openxmlformats.org/markup-compatibility/2006">
    <mc:Choice Requires="x15">
      <x15ac:absPath xmlns:x15ac="http://schemas.microsoft.com/office/spreadsheetml/2010/11/ac" url="Q:\NEW O DRIVE\Management\IBMP\Data files\"/>
    </mc:Choice>
  </mc:AlternateContent>
  <xr:revisionPtr revIDLastSave="0" documentId="8_{E60568A8-D221-4E91-A3B6-D03B85591E2D}" xr6:coauthVersionLast="47" xr6:coauthVersionMax="47" xr10:uidLastSave="{00000000-0000-0000-0000-000000000000}"/>
  <bookViews>
    <workbookView xWindow="-108" yWindow="-108" windowWidth="23256" windowHeight="12576" tabRatio="947" firstSheet="5" activeTab="5" xr2:uid="{00000000-000D-0000-FFFF-FFFF00000000}"/>
  </bookViews>
  <sheets>
    <sheet name="Harvest" sheetId="1" r:id="rId1"/>
    <sheet name="MTFWP Harvest Table" sheetId="11" r:id="rId2"/>
    <sheet name="Testing" sheetId="2" r:id="rId3"/>
    <sheet name="Total" sheetId="3" r:id="rId4"/>
    <sheet name="Capture and Consignment" sheetId="4" r:id="rId5"/>
    <sheet name="Gardiner Basin Counts" sheetId="5" r:id="rId6"/>
    <sheet name="West Hazing" sheetId="6" r:id="rId7"/>
    <sheet name="Other Gardiner Basin Obs" sheetId="8" r:id="rId8"/>
    <sheet name="Quarantine" sheetId="9" r:id="rId9"/>
    <sheet name="shipping class" sheetId="10" r:id="rId10"/>
  </sheets>
  <definedNames>
    <definedName name="_xlnm._FilterDatabase" localSheetId="8" hidden="1">Quarantine!$A$18:$J$20</definedName>
    <definedName name="_xlnm.Print_Area" localSheetId="5">'Gardiner Basin Counts'!$A$1:$K$30</definedName>
    <definedName name="_xlnm.Print_Area" localSheetId="0">Harvest!$A$1:$P$77</definedName>
    <definedName name="_xlnm.Print_Area" localSheetId="3">Total!$A$1:$N$24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I16" i="1"/>
  <c r="H16" i="1"/>
  <c r="G16" i="1"/>
  <c r="F16" i="1"/>
  <c r="E16" i="1"/>
  <c r="D16" i="1"/>
  <c r="C16" i="1"/>
  <c r="G38" i="11"/>
  <c r="E38" i="11"/>
  <c r="D38" i="11"/>
  <c r="C38" i="11"/>
  <c r="B38" i="11"/>
  <c r="G37" i="11"/>
  <c r="E37" i="11"/>
  <c r="D37" i="11"/>
  <c r="C37" i="11"/>
  <c r="B37" i="11"/>
  <c r="H36" i="11"/>
  <c r="G36" i="11"/>
  <c r="E36" i="11"/>
  <c r="D36" i="11"/>
  <c r="C36" i="11"/>
  <c r="B36" i="11"/>
  <c r="G35" i="11"/>
  <c r="E35" i="11"/>
  <c r="D35" i="11"/>
  <c r="C35" i="11"/>
  <c r="B35" i="11"/>
  <c r="G34" i="11"/>
  <c r="E34" i="11"/>
  <c r="D34" i="11"/>
  <c r="C34" i="11"/>
  <c r="B34" i="11"/>
  <c r="G33" i="11"/>
  <c r="E33" i="11"/>
  <c r="D33" i="11"/>
  <c r="C33" i="11"/>
  <c r="B33" i="11"/>
  <c r="G32" i="11"/>
  <c r="E32" i="11"/>
  <c r="D32" i="11"/>
  <c r="C32" i="11"/>
  <c r="B32" i="11"/>
  <c r="H31" i="11"/>
  <c r="G31" i="11"/>
  <c r="E31" i="11"/>
  <c r="D31" i="11"/>
  <c r="C31" i="11"/>
  <c r="B31" i="11"/>
  <c r="H30" i="11"/>
  <c r="G30" i="11"/>
  <c r="E30" i="11"/>
  <c r="D30" i="11"/>
  <c r="C30" i="11"/>
  <c r="B30" i="11"/>
  <c r="H24" i="11"/>
  <c r="H23" i="11"/>
  <c r="H22" i="11"/>
  <c r="H21" i="11"/>
  <c r="H19" i="11"/>
  <c r="H32" i="11" s="1"/>
  <c r="H18" i="11"/>
  <c r="H17" i="11"/>
  <c r="H25" i="11" s="1"/>
  <c r="H11" i="11"/>
  <c r="H37" i="11" s="1"/>
  <c r="H10" i="11"/>
  <c r="H9" i="11"/>
  <c r="H35" i="11" s="1"/>
  <c r="H8" i="11"/>
  <c r="H34" i="11" s="1"/>
  <c r="H7" i="11"/>
  <c r="H33" i="11" s="1"/>
  <c r="H6" i="11"/>
  <c r="H5" i="11"/>
  <c r="H4" i="11"/>
  <c r="H12" i="11" s="1"/>
  <c r="H38" i="11" l="1"/>
  <c r="G3" i="10" l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" i="10"/>
  <c r="F18" i="3" l="1"/>
  <c r="E17" i="9" l="1"/>
  <c r="D17" i="9"/>
  <c r="B17" i="9"/>
  <c r="F17" i="9" l="1"/>
  <c r="D19" i="1"/>
  <c r="D18" i="3" l="1"/>
  <c r="D19" i="3" s="1"/>
  <c r="E18" i="3"/>
  <c r="F19" i="3"/>
  <c r="H18" i="3"/>
  <c r="C18" i="3"/>
  <c r="I17" i="3"/>
  <c r="I19" i="3" s="1"/>
  <c r="K17" i="3"/>
  <c r="K19" i="3" s="1"/>
  <c r="M17" i="3"/>
  <c r="M19" i="3" s="1"/>
  <c r="N17" i="3"/>
  <c r="N19" i="3" s="1"/>
  <c r="E17" i="3"/>
  <c r="G17" i="3"/>
  <c r="G19" i="3" s="1"/>
  <c r="H17" i="3"/>
  <c r="C17" i="3"/>
  <c r="N18" i="1"/>
  <c r="H19" i="3" l="1"/>
  <c r="E19" i="3"/>
  <c r="C19" i="3"/>
  <c r="I20" i="3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C20" i="3" l="1"/>
  <c r="B20" i="3" s="1"/>
  <c r="F27" i="10"/>
  <c r="E27" i="10"/>
  <c r="D27" i="10"/>
  <c r="C27" i="10"/>
  <c r="B27" i="10"/>
  <c r="G27" i="10" l="1"/>
  <c r="H28" i="2"/>
  <c r="B28" i="2"/>
  <c r="D27" i="2"/>
  <c r="E27" i="2"/>
  <c r="F27" i="2"/>
  <c r="G27" i="2"/>
  <c r="H27" i="2"/>
  <c r="I27" i="2"/>
  <c r="J27" i="2"/>
  <c r="K27" i="2"/>
  <c r="L27" i="2"/>
  <c r="M27" i="2"/>
  <c r="C27" i="2"/>
  <c r="B27" i="2"/>
  <c r="G17" i="1" l="1"/>
  <c r="C17" i="1"/>
  <c r="E55" i="4" l="1"/>
  <c r="D55" i="4" l="1"/>
  <c r="C55" i="4" l="1"/>
  <c r="B55" i="4"/>
  <c r="D56" i="4" l="1"/>
</calcChain>
</file>

<file path=xl/sharedStrings.xml><?xml version="1.0" encoding="utf-8"?>
<sst xmlns="http://schemas.openxmlformats.org/spreadsheetml/2006/main" count="313" uniqueCount="191">
  <si>
    <t>Agency/Tribe</t>
  </si>
  <si>
    <t>Backcountry</t>
  </si>
  <si>
    <t>NORTH</t>
  </si>
  <si>
    <t>WEST</t>
  </si>
  <si>
    <t>NORTH Harvest Chronology</t>
  </si>
  <si>
    <t>Male</t>
  </si>
  <si>
    <t>Female</t>
  </si>
  <si>
    <t>Unk</t>
  </si>
  <si>
    <t>Date</t>
  </si>
  <si>
    <t>Hunt Closure</t>
  </si>
  <si>
    <t>Harvests</t>
  </si>
  <si>
    <t>Adult</t>
  </si>
  <si>
    <t>Calf</t>
  </si>
  <si>
    <t>State of Montana</t>
  </si>
  <si>
    <t>3</t>
  </si>
  <si>
    <t>CSKT</t>
  </si>
  <si>
    <t>NPT</t>
  </si>
  <si>
    <t>CTU</t>
  </si>
  <si>
    <t>SB</t>
  </si>
  <si>
    <t>YN</t>
  </si>
  <si>
    <t>BN</t>
  </si>
  <si>
    <t>NPS (injured/shot)</t>
  </si>
  <si>
    <t>MTFWP (injured/shot)</t>
  </si>
  <si>
    <t>MTFWP (seized)</t>
  </si>
  <si>
    <t>Wounded/Left for Waste</t>
  </si>
  <si>
    <t>Unreported</t>
  </si>
  <si>
    <t>Year to Date</t>
  </si>
  <si>
    <t>Total</t>
  </si>
  <si>
    <t xml:space="preserve">updated </t>
  </si>
  <si>
    <t>total below</t>
  </si>
  <si>
    <t>Harvest Summary:</t>
  </si>
  <si>
    <t xml:space="preserve">Note this summary is from conversations with Brian/Kevin and other game wardens. </t>
  </si>
  <si>
    <t>Between Landslide and Reece</t>
  </si>
  <si>
    <t>Out of park maximum count</t>
  </si>
  <si>
    <t>Captured</t>
  </si>
  <si>
    <t>Notes</t>
  </si>
  <si>
    <t>11/25ish/2020</t>
  </si>
  <si>
    <t>Report from Helms of two bulls in the Eagle Creek area, one harvested by state hunter</t>
  </si>
  <si>
    <t>state hunter harvested bull on Stermitz</t>
  </si>
  <si>
    <t>other bull that came out with the one above</t>
  </si>
  <si>
    <t>10+ (130 powerline to SC)</t>
  </si>
  <si>
    <t>Nez Perce above Gardiner</t>
  </si>
  <si>
    <t>Yakima harvested at Beattie</t>
  </si>
  <si>
    <t>Nez Perce, Beattie 2 adult cows, 3 yearling bulls</t>
  </si>
  <si>
    <t>Doug counted on way in to feed</t>
  </si>
  <si>
    <t>1 Nez Perce, 1 Umatilla both killed in Beattie closure and confiscated, 2 more late in day</t>
  </si>
  <si>
    <t>NP 2, YN 2</t>
  </si>
  <si>
    <r>
      <t xml:space="preserve">2 big bulls @ beattie, 2 more cow aND CALF IN PM, </t>
    </r>
    <r>
      <rPr>
        <sz val="11"/>
        <color rgb="FFFF0000"/>
        <rFont val="Calibri"/>
        <family val="2"/>
        <scheme val="minor"/>
      </rPr>
      <t>1 NPS dispatch cow</t>
    </r>
  </si>
  <si>
    <t>no reported bison</t>
  </si>
  <si>
    <r>
      <t xml:space="preserve">beattie, </t>
    </r>
    <r>
      <rPr>
        <sz val="11"/>
        <color rgb="FFFF0000"/>
        <rFont val="Calibri"/>
        <family val="2"/>
        <scheme val="minor"/>
      </rPr>
      <t>1 dispatch NPS</t>
    </r>
  </si>
  <si>
    <t>3 harvested beattie</t>
  </si>
  <si>
    <t>1 bull harvested Silver Gate/Cooke City area</t>
  </si>
  <si>
    <t>2 bulls hazed to shooting area, both cited for shooting from no zone</t>
  </si>
  <si>
    <t>1 bull eagle creek</t>
  </si>
  <si>
    <t>7 bulls Eagle Creek, 6 bulls Beattie - #'s out were Stermitz (70) and Beattie &amp; all returned after am hunt - then 7 in pm at Beattie Gulch</t>
  </si>
  <si>
    <r>
      <t xml:space="preserve">41 harvested and </t>
    </r>
    <r>
      <rPr>
        <sz val="11"/>
        <color rgb="FFFF0000"/>
        <rFont val="Calibri"/>
        <family val="2"/>
        <scheme val="minor"/>
      </rPr>
      <t>2 dispatched within park</t>
    </r>
    <r>
      <rPr>
        <sz val="11"/>
        <color theme="1"/>
        <rFont val="Calibri"/>
        <family val="2"/>
        <scheme val="minor"/>
      </rPr>
      <t xml:space="preserve"> for total of 43 - the 450 in the Stephens Creek area includes the 200 out because they went out, were hunted, and returned</t>
    </r>
  </si>
  <si>
    <t>bull havested in Eagle Creek, group on Stermitz and scatterd in park but no numbers</t>
  </si>
  <si>
    <r>
      <t xml:space="preserve">also </t>
    </r>
    <r>
      <rPr>
        <sz val="11"/>
        <color rgb="FFFF0000"/>
        <rFont val="Calibri"/>
        <family val="2"/>
        <scheme val="minor"/>
      </rPr>
      <t>1 cow</t>
    </r>
    <r>
      <rPr>
        <sz val="11"/>
        <color theme="1"/>
        <rFont val="Calibri"/>
        <family val="2"/>
        <scheme val="minor"/>
      </rPr>
      <t xml:space="preserve"> dispatched in park</t>
    </r>
  </si>
  <si>
    <t>mixed group at middle knob, may be more up Stephens Creek</t>
  </si>
  <si>
    <t>TABLE MAINTAINED BY MTFWP AND DISCUSSED ON WEEKLY HUNT CALLS</t>
  </si>
  <si>
    <t>UPDATED:5/16/21</t>
  </si>
  <si>
    <t>Draft 2020-2021 HD-385 (Gardiner) Bison Hunt Harvest Log Incomplete Reporting</t>
  </si>
  <si>
    <t>(M) Calf</t>
  </si>
  <si>
    <t>(F) Calf</t>
  </si>
  <si>
    <t>calf unknown</t>
  </si>
  <si>
    <t>Unknown</t>
  </si>
  <si>
    <t>Running Total</t>
  </si>
  <si>
    <t>State</t>
  </si>
  <si>
    <t>NP</t>
  </si>
  <si>
    <t xml:space="preserve">BN </t>
  </si>
  <si>
    <t>NA</t>
  </si>
  <si>
    <t>2020-2021 HD-395 (West) Bison Hunt Harvest Log</t>
  </si>
  <si>
    <t>2020-2021 Combined Bison Hunt Harvest Log (Totals)</t>
  </si>
  <si>
    <t># wounded and agency dispatched</t>
  </si>
  <si>
    <t># NPS reported captured and consigned</t>
  </si>
  <si>
    <t># pen mortalities</t>
  </si>
  <si>
    <t># removed to quarantine</t>
  </si>
  <si>
    <t># motor vehicle collisions</t>
  </si>
  <si>
    <t>Yearling</t>
  </si>
  <si>
    <t>+</t>
  </si>
  <si>
    <t>-</t>
  </si>
  <si>
    <t>Removal Method</t>
  </si>
  <si>
    <t>A</t>
  </si>
  <si>
    <t>Y</t>
  </si>
  <si>
    <t>C</t>
  </si>
  <si>
    <t>Operations Year 2019-20</t>
  </si>
  <si>
    <t>Harvest (Mont)</t>
  </si>
  <si>
    <t>Harvest (CSKT)</t>
  </si>
  <si>
    <t>Harvest (NPT)</t>
  </si>
  <si>
    <t>Harvest (CTU)</t>
  </si>
  <si>
    <t>Harvest (SB)</t>
  </si>
  <si>
    <t>Harvest (YN)</t>
  </si>
  <si>
    <t>Harvest (BT)</t>
  </si>
  <si>
    <r>
      <t>NPS</t>
    </r>
    <r>
      <rPr>
        <vertAlign val="superscript"/>
        <sz val="10"/>
        <color theme="1"/>
        <rFont val="Times New Roman"/>
        <family val="1"/>
      </rPr>
      <t>1</t>
    </r>
  </si>
  <si>
    <r>
      <t>MTFWP</t>
    </r>
    <r>
      <rPr>
        <vertAlign val="superscript"/>
        <sz val="10"/>
        <color theme="1"/>
        <rFont val="Times New Roman"/>
        <family val="1"/>
      </rPr>
      <t>2</t>
    </r>
  </si>
  <si>
    <t>Captured and Consigned</t>
  </si>
  <si>
    <t xml:space="preserve"> </t>
  </si>
  <si>
    <t>Removed to Quarantine</t>
  </si>
  <si>
    <t>Capture Pen Mortality</t>
  </si>
  <si>
    <t>MTDOL Management Shooting</t>
  </si>
  <si>
    <t>HARVEST</t>
  </si>
  <si>
    <t>CULL</t>
  </si>
  <si>
    <t>TOTAL</t>
  </si>
  <si>
    <r>
      <rPr>
        <vertAlign val="superscript"/>
        <sz val="10"/>
        <color theme="1"/>
        <rFont val="Times New Roman"/>
        <family val="1"/>
      </rPr>
      <t>1</t>
    </r>
    <r>
      <rPr>
        <sz val="10"/>
        <color theme="1"/>
        <rFont val="Times New Roman"/>
        <family val="1"/>
      </rPr>
      <t xml:space="preserve"> - Wounded animals shot within Yellowstone by YNP personnel </t>
    </r>
  </si>
  <si>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- Wounding loss reported by MTFWP</t>
    </r>
  </si>
  <si>
    <t>Capture</t>
  </si>
  <si>
    <t>Consigned</t>
  </si>
  <si>
    <t>Hold/Release</t>
  </si>
  <si>
    <t>Capture Facility Death</t>
  </si>
  <si>
    <t>Destination</t>
  </si>
  <si>
    <t>IN PEN</t>
  </si>
  <si>
    <t>Mammoth to Gardiner</t>
  </si>
  <si>
    <t>North Entrance Station to Stephens Creek Facility</t>
  </si>
  <si>
    <t>Stephens Creek Facility to Park Boundary</t>
  </si>
  <si>
    <t>North of Park Boundary</t>
  </si>
  <si>
    <t>Eagle Creek SMA</t>
  </si>
  <si>
    <t>Harvests to Date</t>
  </si>
  <si>
    <t>New Harvests</t>
  </si>
  <si>
    <t>Trapped to Date</t>
  </si>
  <si>
    <t>New Trapped</t>
  </si>
  <si>
    <t>Collars</t>
  </si>
  <si>
    <t>YELL-152, YELL-146</t>
  </si>
  <si>
    <t>YELL-146, YELL-147, YELL-152</t>
  </si>
  <si>
    <t>YELL-149, YELL-146, YELL-152, YELL-147</t>
  </si>
  <si>
    <t>YELL-147, YELL-149, YELL-152</t>
  </si>
  <si>
    <t>YELL-150, YELL-152, YELL-149</t>
  </si>
  <si>
    <t>YELL-100, YELL-152, YELL-149</t>
  </si>
  <si>
    <t xml:space="preserve">YELL-100  </t>
  </si>
  <si>
    <t>YELL-100, YELL-152, YELL-131</t>
  </si>
  <si>
    <t xml:space="preserve">YELL-100, YELL-152  </t>
  </si>
  <si>
    <t>YELL-152, YELL-149, YELL-131, YELL-143, YELL-100</t>
  </si>
  <si>
    <t>YELL-149, YELL-152, YELL-150, YELL-142, YELL-100</t>
  </si>
  <si>
    <t>YELL-152, YELL-100, YELL-148, YELL-138, YELL-136</t>
  </si>
  <si>
    <t>YELL-152, YELL-100, YELL-148, YELL-138, YELL-131, YELL-129</t>
  </si>
  <si>
    <t>YELL-152</t>
  </si>
  <si>
    <t>YELL-129, YELL-152</t>
  </si>
  <si>
    <t>none</t>
  </si>
  <si>
    <t>No. of Adults (brown)</t>
  </si>
  <si>
    <t>No. of Newborn</t>
  </si>
  <si>
    <t>Start</t>
  </si>
  <si>
    <t>Stop</t>
  </si>
  <si>
    <t>Marked Animals</t>
  </si>
  <si>
    <t>Personnel</t>
  </si>
  <si>
    <t>Report from ranger Helms that Crow harvested 5 cow elk in Eagle Creek area, first weekend in January</t>
  </si>
  <si>
    <t>2 elk harvested illegally by tribal hunter, tribe unknown, in hunting closure by new gas station (Blackfeet)</t>
  </si>
  <si>
    <t>report from ranger Helms 8-9 elk killed (1 crippled spike being pursued at time of report), 2 deer and 2 antelope all by Blackfeet</t>
  </si>
  <si>
    <t>4 elk and one collared mule deer harvested</t>
  </si>
  <si>
    <t>1 antelope harvested by Blackfeet, Beattie Gulch, possibly an elk up Mulheron by Nez Perce</t>
  </si>
  <si>
    <t>1 elk by Blackfeet at Cutler, 2 elk by Nez Perce</t>
  </si>
  <si>
    <t xml:space="preserve">2/20/212 </t>
  </si>
  <si>
    <t>2 to 3 elk harvested, and a buck pronghorn (over the weekend in total Nez Perce harvested 6 elk 6 cows, 1 calf,, and 1 bull</t>
  </si>
  <si>
    <t>2 known elk harvests, one known cripple back into park by Blackfeet</t>
  </si>
  <si>
    <t>C. Geremia reported elk gut pile @ Rex's Coulie</t>
  </si>
  <si>
    <t>7 elk by Blackfeet, one deer harvested</t>
  </si>
  <si>
    <t xml:space="preserve">2 elk harvested  </t>
  </si>
  <si>
    <t>4 elk harvested Cinnabar</t>
  </si>
  <si>
    <t>3 elk Cinnabar, 1 elk Jardine area</t>
  </si>
  <si>
    <t>2 elk little trail creek</t>
  </si>
  <si>
    <t>1 deer harvested beattie, 1 elk reported</t>
  </si>
  <si>
    <t>at least one elk corwin and at least one beattie</t>
  </si>
  <si>
    <t>elk harvested in gardiner shooting closure.......</t>
  </si>
  <si>
    <t>10 elk and 1 mule deer by blackfeet</t>
  </si>
  <si>
    <t>10 elk by nez perce and blackfeet, one harvest attempt in  park blackfeet</t>
  </si>
  <si>
    <t>unknown number of elk and 2 deer</t>
  </si>
  <si>
    <t xml:space="preserve">3 elk  </t>
  </si>
  <si>
    <t>1 calf elk in beattie</t>
  </si>
  <si>
    <t>3/18//21</t>
  </si>
  <si>
    <t>1 spike elk, beattie, blackfeet</t>
  </si>
  <si>
    <t xml:space="preserve">4 elk harvested  </t>
  </si>
  <si>
    <t>3 elk and 1 antelope</t>
  </si>
  <si>
    <t>4 elk, 1 mule deer</t>
  </si>
  <si>
    <t xml:space="preserve">2 known elk  </t>
  </si>
  <si>
    <t>3 elk</t>
  </si>
  <si>
    <t>Quarantine Pen Composition</t>
  </si>
  <si>
    <t>Pen 1</t>
  </si>
  <si>
    <t>Quarantine Testing</t>
  </si>
  <si>
    <t>Backtag</t>
  </si>
  <si>
    <t>Eartag</t>
  </si>
  <si>
    <t>Sex</t>
  </si>
  <si>
    <t>Weight (lbs)</t>
  </si>
  <si>
    <t xml:space="preserve">Age (months) </t>
  </si>
  <si>
    <t>Test 1</t>
  </si>
  <si>
    <t>FP (mP below Neg Cutoff)</t>
  </si>
  <si>
    <t>FP Interp</t>
  </si>
  <si>
    <t>Card</t>
  </si>
  <si>
    <t>BAPA</t>
  </si>
  <si>
    <t>MA</t>
  </si>
  <si>
    <t>YM</t>
  </si>
  <si>
    <t>FA</t>
  </si>
  <si>
    <t>FY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</si>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</sst>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  <scheme val="minor"/>
    </font>
    <font>
      <vertAlign val="superscript"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229">
    <xf numFmtId="0" fontId="0" fillId="0" borderId="0" xfId="0"/>
    <xf numFmtId="14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/>
    <xf numFmtId="14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14" fontId="2" fillId="2" borderId="20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4" fontId="3" fillId="2" borderId="2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3" fillId="4" borderId="19" xfId="0" applyFont="1" applyFill="1" applyBorder="1"/>
    <xf numFmtId="0" fontId="3" fillId="4" borderId="14" xfId="0" applyFont="1" applyFill="1" applyBorder="1"/>
    <xf numFmtId="0" fontId="3" fillId="4" borderId="17" xfId="0" applyFont="1" applyFill="1" applyBorder="1"/>
    <xf numFmtId="0" fontId="3" fillId="4" borderId="18" xfId="0" applyFont="1" applyFill="1" applyBorder="1"/>
    <xf numFmtId="0" fontId="3" fillId="4" borderId="10" xfId="0" applyFont="1" applyFill="1" applyBorder="1"/>
    <xf numFmtId="0" fontId="3" fillId="4" borderId="16" xfId="0" applyFont="1" applyFill="1" applyBorder="1"/>
    <xf numFmtId="0" fontId="3" fillId="2" borderId="9" xfId="0" applyFont="1" applyFill="1" applyBorder="1"/>
    <xf numFmtId="14" fontId="2" fillId="2" borderId="22" xfId="0" applyNumberFormat="1" applyFont="1" applyFill="1" applyBorder="1"/>
    <xf numFmtId="0" fontId="2" fillId="2" borderId="22" xfId="0" applyFont="1" applyFill="1" applyBorder="1"/>
    <xf numFmtId="14" fontId="2" fillId="2" borderId="14" xfId="0" applyNumberFormat="1" applyFont="1" applyFill="1" applyBorder="1"/>
    <xf numFmtId="0" fontId="2" fillId="2" borderId="14" xfId="0" applyFont="1" applyFill="1" applyBorder="1"/>
    <xf numFmtId="0" fontId="2" fillId="2" borderId="10" xfId="0" applyFont="1" applyFill="1" applyBorder="1"/>
    <xf numFmtId="14" fontId="2" fillId="2" borderId="0" xfId="0" applyNumberFormat="1" applyFont="1" applyFill="1" applyBorder="1"/>
    <xf numFmtId="0" fontId="2" fillId="2" borderId="0" xfId="0" applyFont="1" applyFill="1" applyBorder="1"/>
    <xf numFmtId="0" fontId="3" fillId="2" borderId="35" xfId="0" applyFont="1" applyFill="1" applyBorder="1"/>
    <xf numFmtId="0" fontId="3" fillId="2" borderId="35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14" fontId="2" fillId="2" borderId="0" xfId="0" applyNumberFormat="1" applyFont="1" applyFill="1" applyBorder="1" applyAlignment="1">
      <alignment horizontal="left" vertical="top"/>
    </xf>
    <xf numFmtId="0" fontId="2" fillId="2" borderId="0" xfId="0" applyFont="1" applyFill="1" applyAlignment="1">
      <alignment horizontal="left"/>
    </xf>
    <xf numFmtId="0" fontId="2" fillId="2" borderId="0" xfId="0" applyFont="1" applyFill="1" applyBorder="1" applyAlignment="1">
      <alignment vertical="top" wrapText="1"/>
    </xf>
    <xf numFmtId="14" fontId="2" fillId="2" borderId="0" xfId="0" applyNumberFormat="1" applyFont="1" applyFill="1" applyAlignment="1">
      <alignment horizontal="left" vertical="top"/>
    </xf>
    <xf numFmtId="0" fontId="0" fillId="2" borderId="0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vertical="center"/>
    </xf>
    <xf numFmtId="14" fontId="0" fillId="2" borderId="0" xfId="0" applyNumberFormat="1" applyFill="1" applyAlignment="1">
      <alignment horizontal="left" vertical="center"/>
    </xf>
    <xf numFmtId="0" fontId="8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7" fillId="2" borderId="15" xfId="0" applyFont="1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49" fontId="7" fillId="2" borderId="20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49" fontId="8" fillId="2" borderId="20" xfId="0" applyNumberFormat="1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0" fillId="5" borderId="0" xfId="0" applyFill="1" applyBorder="1" applyAlignment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0" borderId="0" xfId="0" applyBorder="1"/>
    <xf numFmtId="0" fontId="6" fillId="0" borderId="0" xfId="0" applyFont="1"/>
    <xf numFmtId="0" fontId="2" fillId="4" borderId="6" xfId="0" applyFont="1" applyFill="1" applyBorder="1" applyAlignment="1">
      <alignment horizontal="center" vertical="top"/>
    </xf>
    <xf numFmtId="0" fontId="2" fillId="4" borderId="0" xfId="0" applyFont="1" applyFill="1" applyBorder="1" applyAlignment="1">
      <alignment horizontal="center" vertical="top"/>
    </xf>
    <xf numFmtId="49" fontId="2" fillId="2" borderId="6" xfId="0" applyNumberFormat="1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top"/>
    </xf>
    <xf numFmtId="0" fontId="2" fillId="4" borderId="29" xfId="0" applyFont="1" applyFill="1" applyBorder="1" applyAlignment="1">
      <alignment horizontal="center" vertical="top"/>
    </xf>
    <xf numFmtId="0" fontId="2" fillId="4" borderId="30" xfId="0" applyFont="1" applyFill="1" applyBorder="1" applyAlignment="1">
      <alignment horizontal="center" vertical="top"/>
    </xf>
    <xf numFmtId="0" fontId="2" fillId="2" borderId="40" xfId="0" applyFont="1" applyFill="1" applyBorder="1" applyAlignment="1">
      <alignment horizontal="center" vertical="top"/>
    </xf>
    <xf numFmtId="0" fontId="2" fillId="2" borderId="35" xfId="0" applyFont="1" applyFill="1" applyBorder="1" applyAlignment="1">
      <alignment horizontal="center" vertical="top"/>
    </xf>
    <xf numFmtId="0" fontId="2" fillId="4" borderId="15" xfId="0" applyFont="1" applyFill="1" applyBorder="1" applyAlignment="1">
      <alignment horizontal="center" vertical="top"/>
    </xf>
    <xf numFmtId="0" fontId="2" fillId="2" borderId="15" xfId="0" applyFont="1" applyFill="1" applyBorder="1" applyAlignment="1">
      <alignment horizontal="center" vertical="top"/>
    </xf>
    <xf numFmtId="0" fontId="2" fillId="4" borderId="32" xfId="0" applyFont="1" applyFill="1" applyBorder="1" applyAlignment="1">
      <alignment horizontal="center" vertical="top"/>
    </xf>
    <xf numFmtId="0" fontId="2" fillId="2" borderId="39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14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14" fontId="0" fillId="2" borderId="0" xfId="0" applyNumberFormat="1" applyFill="1" applyAlignment="1">
      <alignment vertical="center"/>
    </xf>
    <xf numFmtId="0" fontId="8" fillId="2" borderId="4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9" fontId="2" fillId="2" borderId="1" xfId="1" applyFont="1" applyFill="1" applyBorder="1" applyAlignment="1">
      <alignment vertical="center"/>
    </xf>
    <xf numFmtId="9" fontId="0" fillId="2" borderId="0" xfId="1" applyFont="1" applyFill="1" applyAlignment="1">
      <alignment vertical="center"/>
    </xf>
    <xf numFmtId="14" fontId="2" fillId="2" borderId="1" xfId="1" applyNumberFormat="1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vertical="center"/>
    </xf>
    <xf numFmtId="1" fontId="2" fillId="2" borderId="1" xfId="1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14" fontId="2" fillId="2" borderId="20" xfId="0" applyNumberFormat="1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left" vertical="center"/>
    </xf>
    <xf numFmtId="14" fontId="2" fillId="2" borderId="38" xfId="0" applyNumberFormat="1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/>
    </xf>
    <xf numFmtId="14" fontId="0" fillId="0" borderId="0" xfId="0" applyNumberFormat="1"/>
    <xf numFmtId="0" fontId="2" fillId="2" borderId="1" xfId="1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vertical="center" wrapText="1"/>
    </xf>
    <xf numFmtId="0" fontId="8" fillId="2" borderId="19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7" fillId="2" borderId="17" xfId="0" applyFont="1" applyFill="1" applyBorder="1" applyAlignment="1">
      <alignment vertical="center"/>
    </xf>
    <xf numFmtId="0" fontId="7" fillId="2" borderId="20" xfId="0" applyFont="1" applyFill="1" applyBorder="1" applyAlignment="1">
      <alignment vertical="center"/>
    </xf>
    <xf numFmtId="16" fontId="7" fillId="2" borderId="20" xfId="0" applyNumberFormat="1" applyFont="1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2" fillId="2" borderId="5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top"/>
    </xf>
    <xf numFmtId="0" fontId="2" fillId="4" borderId="14" xfId="0" applyFont="1" applyFill="1" applyBorder="1" applyAlignment="1">
      <alignment horizontal="center" vertical="top"/>
    </xf>
    <xf numFmtId="49" fontId="2" fillId="4" borderId="26" xfId="0" applyNumberFormat="1" applyFont="1" applyFill="1" applyBorder="1" applyAlignment="1">
      <alignment horizontal="left" vertical="center"/>
    </xf>
    <xf numFmtId="49" fontId="2" fillId="4" borderId="4" xfId="0" applyNumberFormat="1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center" vertical="top"/>
    </xf>
    <xf numFmtId="49" fontId="3" fillId="2" borderId="19" xfId="0" applyNumberFormat="1" applyFont="1" applyFill="1" applyBorder="1" applyAlignment="1">
      <alignment horizontal="center" vertical="center"/>
    </xf>
    <xf numFmtId="49" fontId="3" fillId="4" borderId="29" xfId="0" applyNumberFormat="1" applyFont="1" applyFill="1" applyBorder="1" applyAlignment="1">
      <alignment horizontal="left" vertical="center"/>
    </xf>
    <xf numFmtId="49" fontId="3" fillId="2" borderId="40" xfId="0" applyNumberFormat="1" applyFont="1" applyFill="1" applyBorder="1" applyAlignment="1">
      <alignment horizontal="left" vertical="center"/>
    </xf>
    <xf numFmtId="49" fontId="3" fillId="2" borderId="6" xfId="0" applyNumberFormat="1" applyFont="1" applyFill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2" fillId="2" borderId="0" xfId="0" applyFont="1" applyFill="1" applyBorder="1" applyAlignment="1">
      <alignment horizontal="left"/>
    </xf>
    <xf numFmtId="49" fontId="7" fillId="2" borderId="0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left" vertical="center"/>
    </xf>
    <xf numFmtId="1" fontId="2" fillId="2" borderId="1" xfId="1" applyNumberFormat="1" applyFont="1" applyFill="1" applyBorder="1" applyAlignment="1">
      <alignment horizontal="left" vertical="center"/>
    </xf>
    <xf numFmtId="14" fontId="0" fillId="0" borderId="0" xfId="0" applyNumberFormat="1" applyBorder="1"/>
    <xf numFmtId="0" fontId="0" fillId="0" borderId="4" xfId="0" applyFill="1" applyBorder="1"/>
    <xf numFmtId="0" fontId="0" fillId="0" borderId="0" xfId="0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4" fontId="2" fillId="2" borderId="1" xfId="0" applyNumberFormat="1" applyFont="1" applyFill="1" applyBorder="1" applyAlignment="1">
      <alignment horizontal="right" vertical="center"/>
    </xf>
    <xf numFmtId="1" fontId="2" fillId="2" borderId="1" xfId="0" applyNumberFormat="1" applyFont="1" applyFill="1" applyBorder="1" applyAlignment="1">
      <alignment horizontal="right" vertical="center"/>
    </xf>
    <xf numFmtId="0" fontId="8" fillId="2" borderId="14" xfId="0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0" fontId="14" fillId="0" borderId="0" xfId="0" applyFont="1"/>
    <xf numFmtId="0" fontId="0" fillId="0" borderId="0" xfId="0" applyAlignment="1">
      <alignment horizontal="center"/>
    </xf>
    <xf numFmtId="1" fontId="15" fillId="2" borderId="1" xfId="0" applyNumberFormat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right" vertical="center"/>
    </xf>
    <xf numFmtId="0" fontId="8" fillId="2" borderId="42" xfId="0" applyFont="1" applyFill="1" applyBorder="1" applyAlignment="1">
      <alignment horizontal="right" vertical="center"/>
    </xf>
    <xf numFmtId="0" fontId="8" fillId="2" borderId="16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0" fontId="3" fillId="2" borderId="34" xfId="0" applyFont="1" applyFill="1" applyBorder="1" applyAlignment="1">
      <alignment horizontal="right" vertical="center"/>
    </xf>
    <xf numFmtId="0" fontId="3" fillId="2" borderId="23" xfId="0" applyFont="1" applyFill="1" applyBorder="1" applyAlignment="1">
      <alignment horizontal="right" vertical="center"/>
    </xf>
    <xf numFmtId="14" fontId="2" fillId="2" borderId="25" xfId="0" applyNumberFormat="1" applyFont="1" applyFill="1" applyBorder="1" applyAlignment="1">
      <alignment horizontal="center" vertical="top"/>
    </xf>
    <xf numFmtId="14" fontId="2" fillId="2" borderId="27" xfId="0" applyNumberFormat="1" applyFont="1" applyFill="1" applyBorder="1" applyAlignment="1">
      <alignment horizontal="center" vertical="top"/>
    </xf>
    <xf numFmtId="14" fontId="2" fillId="2" borderId="28" xfId="0" applyNumberFormat="1" applyFont="1" applyFill="1" applyBorder="1" applyAlignment="1">
      <alignment horizontal="center" vertical="top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left" vertical="top"/>
    </xf>
    <xf numFmtId="0" fontId="2" fillId="2" borderId="27" xfId="0" applyFont="1" applyFill="1" applyBorder="1" applyAlignment="1">
      <alignment horizontal="left" vertical="top"/>
    </xf>
    <xf numFmtId="0" fontId="2" fillId="2" borderId="28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right" vertical="top"/>
    </xf>
    <xf numFmtId="0" fontId="3" fillId="2" borderId="10" xfId="0" applyFont="1" applyFill="1" applyBorder="1" applyAlignment="1">
      <alignment horizontal="right" vertical="top"/>
    </xf>
    <xf numFmtId="0" fontId="3" fillId="2" borderId="16" xfId="0" applyFont="1" applyFill="1" applyBorder="1" applyAlignment="1">
      <alignment horizontal="right" vertical="top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49" fontId="2" fillId="2" borderId="19" xfId="0" applyNumberFormat="1" applyFont="1" applyFill="1" applyBorder="1" applyAlignment="1">
      <alignment horizontal="center" vertical="center" wrapText="1"/>
    </xf>
    <xf numFmtId="49" fontId="2" fillId="2" borderId="20" xfId="0" applyNumberFormat="1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>
      <alignment horizontal="center" vertical="center" wrapText="1"/>
    </xf>
    <xf numFmtId="0" fontId="0" fillId="0" borderId="40" xfId="0" applyBorder="1" applyAlignment="1"/>
    <xf numFmtId="0" fontId="0" fillId="0" borderId="35" xfId="0" applyBorder="1" applyAlignment="1"/>
    <xf numFmtId="0" fontId="0" fillId="0" borderId="41" xfId="0" applyBorder="1" applyAlignment="1"/>
    <xf numFmtId="0" fontId="0" fillId="0" borderId="5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2" xfId="0" applyBorder="1" applyAlignment="1"/>
    <xf numFmtId="0" fontId="6" fillId="4" borderId="1" xfId="0" applyFont="1" applyFill="1" applyBorder="1" applyAlignment="1"/>
    <xf numFmtId="0" fontId="6" fillId="0" borderId="5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5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07"/>
  <sheetViews>
    <sheetView view="pageBreakPreview" topLeftCell="A4" zoomScaleNormal="100" zoomScaleSheetLayoutView="100" workbookViewId="0">
      <selection activeCell="E16" activeCellId="1" sqref="I16 E16"/>
    </sheetView>
  </sheetViews>
  <sheetFormatPr defaultColWidth="9.140625" defaultRowHeight="14.45"/>
  <cols>
    <col min="1" max="1" width="21.42578125" style="3" bestFit="1" customWidth="1"/>
    <col min="2" max="2" width="21.42578125" style="3" customWidth="1"/>
    <col min="3" max="3" width="11" style="3" customWidth="1"/>
    <col min="4" max="4" width="7.28515625" style="3" customWidth="1"/>
    <col min="5" max="5" width="8" style="3" customWidth="1"/>
    <col min="6" max="6" width="5.85546875" style="3" customWidth="1"/>
    <col min="7" max="8" width="9.42578125" style="3" customWidth="1"/>
    <col min="9" max="9" width="10.42578125" style="3" customWidth="1"/>
    <col min="10" max="10" width="10.7109375" style="3" customWidth="1"/>
    <col min="11" max="11" width="12.42578125" style="3" customWidth="1"/>
    <col min="12" max="12" width="16.7109375" style="3" customWidth="1"/>
    <col min="13" max="13" width="13.42578125" style="3" bestFit="1" customWidth="1"/>
    <col min="14" max="14" width="9" style="3" bestFit="1" customWidth="1"/>
    <col min="15" max="16384" width="9.140625" style="3"/>
  </cols>
  <sheetData>
    <row r="1" spans="1:14" ht="15.6">
      <c r="A1" s="173" t="s">
        <v>0</v>
      </c>
      <c r="B1" s="165" t="s">
        <v>1</v>
      </c>
      <c r="C1" s="181" t="s">
        <v>2</v>
      </c>
      <c r="D1" s="181"/>
      <c r="E1" s="181"/>
      <c r="F1" s="181"/>
      <c r="G1" s="181" t="s">
        <v>3</v>
      </c>
      <c r="H1" s="181"/>
      <c r="I1" s="181"/>
      <c r="J1" s="182"/>
      <c r="L1" s="131" t="s">
        <v>4</v>
      </c>
      <c r="M1" s="132"/>
      <c r="N1" s="133"/>
    </row>
    <row r="2" spans="1:14" ht="15.6">
      <c r="A2" s="174"/>
      <c r="B2" s="58"/>
      <c r="C2" s="56" t="s">
        <v>5</v>
      </c>
      <c r="D2" s="172" t="s">
        <v>6</v>
      </c>
      <c r="E2" s="179" t="s">
        <v>7</v>
      </c>
      <c r="F2" s="179"/>
      <c r="G2" s="56" t="s">
        <v>5</v>
      </c>
      <c r="H2" s="172" t="s">
        <v>6</v>
      </c>
      <c r="I2" s="179" t="s">
        <v>7</v>
      </c>
      <c r="J2" s="180"/>
      <c r="L2" s="134" t="s">
        <v>8</v>
      </c>
      <c r="M2" s="130" t="s">
        <v>9</v>
      </c>
      <c r="N2" s="61" t="s">
        <v>10</v>
      </c>
    </row>
    <row r="3" spans="1:14" ht="16.149999999999999" thickBot="1">
      <c r="A3" s="175"/>
      <c r="B3" s="58"/>
      <c r="C3" s="98" t="s">
        <v>11</v>
      </c>
      <c r="D3" s="99" t="s">
        <v>11</v>
      </c>
      <c r="E3" s="99" t="s">
        <v>7</v>
      </c>
      <c r="F3" s="99" t="s">
        <v>12</v>
      </c>
      <c r="G3" s="98" t="s">
        <v>11</v>
      </c>
      <c r="H3" s="99" t="s">
        <v>11</v>
      </c>
      <c r="I3" s="99" t="s">
        <v>7</v>
      </c>
      <c r="J3" s="105" t="s">
        <v>12</v>
      </c>
      <c r="L3" s="134"/>
      <c r="M3" s="58"/>
      <c r="N3" s="61"/>
    </row>
    <row r="4" spans="1:14" ht="15.6">
      <c r="A4" s="64" t="s">
        <v>13</v>
      </c>
      <c r="B4" s="151" t="s">
        <v>14</v>
      </c>
      <c r="C4" s="100">
        <v>6</v>
      </c>
      <c r="D4" s="101">
        <v>0</v>
      </c>
      <c r="E4" s="101">
        <v>0</v>
      </c>
      <c r="F4" s="102">
        <v>0</v>
      </c>
      <c r="G4" s="100">
        <v>3</v>
      </c>
      <c r="H4" s="101">
        <v>5</v>
      </c>
      <c r="I4" s="101">
        <v>1</v>
      </c>
      <c r="J4" s="106">
        <v>1</v>
      </c>
      <c r="L4" s="134"/>
      <c r="M4" s="58"/>
      <c r="N4" s="61"/>
    </row>
    <row r="5" spans="1:14" ht="15.6">
      <c r="A5" s="64" t="s">
        <v>15</v>
      </c>
      <c r="B5" s="151"/>
      <c r="C5" s="57">
        <v>0</v>
      </c>
      <c r="D5" s="58">
        <v>0</v>
      </c>
      <c r="E5" s="58">
        <v>0</v>
      </c>
      <c r="F5" s="103">
        <v>0</v>
      </c>
      <c r="G5" s="57">
        <v>4</v>
      </c>
      <c r="H5" s="58">
        <v>2</v>
      </c>
      <c r="I5" s="58">
        <v>0</v>
      </c>
      <c r="J5" s="65">
        <v>0</v>
      </c>
      <c r="L5" s="134"/>
      <c r="M5" s="58"/>
      <c r="N5" s="61"/>
    </row>
    <row r="6" spans="1:14" ht="15.6">
      <c r="A6" s="64" t="s">
        <v>16</v>
      </c>
      <c r="B6" s="151"/>
      <c r="C6" s="57">
        <v>23</v>
      </c>
      <c r="D6" s="58">
        <v>22</v>
      </c>
      <c r="E6" s="58">
        <v>0</v>
      </c>
      <c r="F6" s="103">
        <v>31</v>
      </c>
      <c r="G6" s="57">
        <v>1</v>
      </c>
      <c r="H6" s="58">
        <v>0</v>
      </c>
      <c r="I6" s="58">
        <v>0</v>
      </c>
      <c r="J6" s="65">
        <v>0</v>
      </c>
      <c r="L6" s="134"/>
      <c r="M6" s="58"/>
      <c r="N6" s="61"/>
    </row>
    <row r="7" spans="1:14" ht="15.6">
      <c r="A7" s="64" t="s">
        <v>17</v>
      </c>
      <c r="B7" s="151"/>
      <c r="C7" s="57">
        <v>10</v>
      </c>
      <c r="D7" s="58">
        <v>4</v>
      </c>
      <c r="E7" s="58">
        <v>0</v>
      </c>
      <c r="F7" s="103">
        <v>6</v>
      </c>
      <c r="G7" s="57">
        <v>0</v>
      </c>
      <c r="H7" s="58">
        <v>0</v>
      </c>
      <c r="I7" s="58">
        <v>0</v>
      </c>
      <c r="J7" s="65">
        <v>0</v>
      </c>
      <c r="L7" s="135"/>
      <c r="M7" s="58"/>
      <c r="N7" s="61"/>
    </row>
    <row r="8" spans="1:14" ht="15.6">
      <c r="A8" s="64" t="s">
        <v>18</v>
      </c>
      <c r="B8" s="151"/>
      <c r="C8" s="57">
        <v>3</v>
      </c>
      <c r="D8" s="58">
        <v>2</v>
      </c>
      <c r="E8" s="58">
        <v>0</v>
      </c>
      <c r="F8" s="103">
        <v>1</v>
      </c>
      <c r="G8" s="57">
        <v>3</v>
      </c>
      <c r="H8" s="58">
        <v>0</v>
      </c>
      <c r="I8" s="58">
        <v>0</v>
      </c>
      <c r="J8" s="65">
        <v>0</v>
      </c>
      <c r="L8" s="134"/>
      <c r="M8" s="58"/>
      <c r="N8" s="61"/>
    </row>
    <row r="9" spans="1:14" ht="15.6">
      <c r="A9" s="64" t="s">
        <v>19</v>
      </c>
      <c r="B9" s="151"/>
      <c r="C9" s="57">
        <v>2</v>
      </c>
      <c r="D9" s="58">
        <v>5</v>
      </c>
      <c r="E9" s="58">
        <v>0</v>
      </c>
      <c r="F9" s="103">
        <v>0</v>
      </c>
      <c r="G9" s="57">
        <v>4</v>
      </c>
      <c r="H9" s="58">
        <v>3</v>
      </c>
      <c r="I9" s="58">
        <v>0</v>
      </c>
      <c r="J9" s="65">
        <v>1</v>
      </c>
      <c r="L9" s="134"/>
      <c r="M9" s="58"/>
      <c r="N9" s="61"/>
    </row>
    <row r="10" spans="1:14" ht="15.6">
      <c r="A10" s="64" t="s">
        <v>20</v>
      </c>
      <c r="B10" s="151"/>
      <c r="C10" s="57">
        <v>4</v>
      </c>
      <c r="D10" s="58">
        <v>11</v>
      </c>
      <c r="E10" s="58">
        <v>0</v>
      </c>
      <c r="F10" s="103">
        <v>0</v>
      </c>
      <c r="G10" s="57">
        <v>0</v>
      </c>
      <c r="H10" s="58">
        <v>0</v>
      </c>
      <c r="I10" s="58">
        <v>5</v>
      </c>
      <c r="J10" s="65">
        <v>0</v>
      </c>
      <c r="L10" s="134"/>
      <c r="M10" s="58"/>
      <c r="N10" s="61"/>
    </row>
    <row r="11" spans="1:14" ht="15.6">
      <c r="A11" s="64" t="s">
        <v>21</v>
      </c>
      <c r="B11" s="151"/>
      <c r="C11" s="57">
        <v>1</v>
      </c>
      <c r="D11" s="58">
        <v>3</v>
      </c>
      <c r="E11" s="58">
        <v>0</v>
      </c>
      <c r="F11" s="103">
        <v>1</v>
      </c>
      <c r="G11" s="57">
        <v>0</v>
      </c>
      <c r="H11" s="58">
        <v>0</v>
      </c>
      <c r="I11" s="58">
        <v>0</v>
      </c>
      <c r="J11" s="65">
        <v>0</v>
      </c>
      <c r="K11" s="4"/>
      <c r="L11" s="136"/>
      <c r="M11" s="4"/>
      <c r="N11" s="62"/>
    </row>
    <row r="12" spans="1:14" ht="15.6">
      <c r="A12" s="64" t="s">
        <v>22</v>
      </c>
      <c r="B12" s="151"/>
      <c r="C12" s="57">
        <v>0</v>
      </c>
      <c r="D12" s="58">
        <v>0</v>
      </c>
      <c r="E12" s="58">
        <v>0</v>
      </c>
      <c r="F12" s="103">
        <v>0</v>
      </c>
      <c r="G12" s="57">
        <v>0</v>
      </c>
      <c r="H12" s="58">
        <v>0</v>
      </c>
      <c r="I12" s="58">
        <v>0</v>
      </c>
      <c r="J12" s="65">
        <v>0</v>
      </c>
      <c r="K12" s="4"/>
      <c r="L12" s="136"/>
      <c r="M12" s="60"/>
      <c r="N12" s="62"/>
    </row>
    <row r="13" spans="1:14" ht="15.6">
      <c r="A13" s="64" t="s">
        <v>23</v>
      </c>
      <c r="B13" s="151"/>
      <c r="C13" s="57">
        <v>0</v>
      </c>
      <c r="D13" s="58">
        <v>0</v>
      </c>
      <c r="E13" s="58">
        <v>0</v>
      </c>
      <c r="F13" s="103">
        <v>0</v>
      </c>
      <c r="G13" s="57">
        <v>0</v>
      </c>
      <c r="H13" s="58">
        <v>0</v>
      </c>
      <c r="I13" s="58">
        <v>0</v>
      </c>
      <c r="J13" s="65">
        <v>1</v>
      </c>
      <c r="K13" s="4"/>
      <c r="L13" s="136"/>
      <c r="M13" s="60"/>
      <c r="N13" s="62"/>
    </row>
    <row r="14" spans="1:14" ht="15.6">
      <c r="A14" s="64" t="s">
        <v>24</v>
      </c>
      <c r="B14" s="151"/>
      <c r="C14" s="57">
        <v>0</v>
      </c>
      <c r="D14" s="58">
        <v>0</v>
      </c>
      <c r="E14" s="58">
        <v>0</v>
      </c>
      <c r="F14" s="103">
        <v>0</v>
      </c>
      <c r="G14" s="57">
        <v>0</v>
      </c>
      <c r="H14" s="58">
        <v>0</v>
      </c>
      <c r="I14" s="58">
        <v>0</v>
      </c>
      <c r="J14" s="65">
        <v>0</v>
      </c>
      <c r="K14" s="4"/>
      <c r="L14" s="136"/>
      <c r="M14" s="60"/>
      <c r="N14" s="62"/>
    </row>
    <row r="15" spans="1:14" ht="15.6">
      <c r="A15" s="64" t="s">
        <v>25</v>
      </c>
      <c r="B15" s="151"/>
      <c r="C15" s="57">
        <v>0</v>
      </c>
      <c r="D15" s="58">
        <v>0</v>
      </c>
      <c r="E15" s="58">
        <v>18</v>
      </c>
      <c r="F15" s="103">
        <v>0</v>
      </c>
      <c r="G15" s="57">
        <v>0</v>
      </c>
      <c r="H15" s="58">
        <v>0</v>
      </c>
      <c r="I15" s="58">
        <v>0</v>
      </c>
      <c r="J15" s="65">
        <v>0</v>
      </c>
      <c r="L15" s="136"/>
      <c r="M15" s="60"/>
      <c r="N15" s="62"/>
    </row>
    <row r="16" spans="1:14" ht="18">
      <c r="A16" s="66" t="s">
        <v>26</v>
      </c>
      <c r="B16" s="152"/>
      <c r="C16" s="59">
        <f t="shared" ref="C16:J16" si="0">SUM(C4:C15)</f>
        <v>49</v>
      </c>
      <c r="D16" s="97">
        <f t="shared" si="0"/>
        <v>47</v>
      </c>
      <c r="E16" s="97">
        <f t="shared" si="0"/>
        <v>18</v>
      </c>
      <c r="F16" s="104">
        <f t="shared" si="0"/>
        <v>39</v>
      </c>
      <c r="G16" s="59">
        <f t="shared" si="0"/>
        <v>15</v>
      </c>
      <c r="H16" s="97">
        <f t="shared" si="0"/>
        <v>10</v>
      </c>
      <c r="I16" s="97">
        <f t="shared" si="0"/>
        <v>6</v>
      </c>
      <c r="J16" s="107">
        <f t="shared" si="0"/>
        <v>3</v>
      </c>
      <c r="K16" s="7"/>
      <c r="L16" s="136"/>
      <c r="M16" s="4"/>
      <c r="N16" s="62"/>
    </row>
    <row r="17" spans="1:17" ht="16.149999999999999" thickBot="1">
      <c r="A17" s="67" t="s">
        <v>27</v>
      </c>
      <c r="B17" s="153"/>
      <c r="C17" s="176">
        <f>SUM(C16:F16)</f>
        <v>153</v>
      </c>
      <c r="D17" s="176"/>
      <c r="E17" s="176"/>
      <c r="F17" s="177"/>
      <c r="G17" s="176">
        <f>SUM(G16:J16)</f>
        <v>34</v>
      </c>
      <c r="H17" s="176"/>
      <c r="I17" s="176"/>
      <c r="J17" s="178"/>
      <c r="L17" s="137"/>
      <c r="M17" s="138"/>
      <c r="N17" s="63"/>
    </row>
    <row r="18" spans="1:17">
      <c r="A18" s="4"/>
      <c r="B18" s="4"/>
      <c r="H18" s="3" t="s">
        <v>28</v>
      </c>
      <c r="M18" s="3" t="s">
        <v>27</v>
      </c>
      <c r="N18" s="3">
        <f>SUM(N3:N17)</f>
        <v>0</v>
      </c>
    </row>
    <row r="19" spans="1:17" ht="15.6">
      <c r="C19" s="3" t="s">
        <v>29</v>
      </c>
      <c r="D19" s="3">
        <f>SUM(D23:D99)</f>
        <v>148</v>
      </c>
      <c r="E19" s="60"/>
      <c r="F19" s="60"/>
      <c r="G19" s="60"/>
      <c r="H19" s="60"/>
      <c r="I19" s="4"/>
      <c r="J19" s="4"/>
    </row>
    <row r="20" spans="1:17" s="4" customFormat="1"/>
    <row r="21" spans="1:17" s="4" customFormat="1">
      <c r="A21" s="54" t="s">
        <v>30</v>
      </c>
      <c r="B21" s="54"/>
      <c r="C21" s="69" t="s">
        <v>31</v>
      </c>
      <c r="D21" s="69"/>
      <c r="E21" s="69"/>
      <c r="F21" s="69"/>
      <c r="G21" s="69"/>
      <c r="H21" s="69"/>
      <c r="I21" s="69"/>
      <c r="J21" s="69"/>
      <c r="K21" s="69"/>
      <c r="L21" s="69"/>
      <c r="M21" s="69"/>
    </row>
    <row r="22" spans="1:17" s="4" customFormat="1">
      <c r="A22" s="160" t="s">
        <v>8</v>
      </c>
      <c r="B22" s="161" t="s">
        <v>32</v>
      </c>
      <c r="C22" s="160" t="s">
        <v>33</v>
      </c>
      <c r="D22" s="160" t="s">
        <v>10</v>
      </c>
      <c r="E22" s="160" t="s">
        <v>34</v>
      </c>
      <c r="G22" s="54" t="s">
        <v>35</v>
      </c>
    </row>
    <row r="23" spans="1:17" s="4" customFormat="1">
      <c r="A23" s="163" t="s">
        <v>36</v>
      </c>
      <c r="B23" s="161">
        <v>0</v>
      </c>
      <c r="C23" s="160">
        <v>0</v>
      </c>
      <c r="D23" s="160">
        <v>1</v>
      </c>
      <c r="E23" s="160">
        <v>0</v>
      </c>
      <c r="F23" s="4" t="s">
        <v>37</v>
      </c>
      <c r="G23" s="54"/>
    </row>
    <row r="24" spans="1:17" s="4" customFormat="1">
      <c r="A24" s="163">
        <v>44221</v>
      </c>
      <c r="B24" s="164"/>
      <c r="C24" s="162"/>
      <c r="D24" s="162">
        <v>1</v>
      </c>
      <c r="E24" s="162"/>
      <c r="F24" s="4" t="s">
        <v>38</v>
      </c>
      <c r="G24" s="3"/>
      <c r="H24" s="3"/>
      <c r="I24" s="3"/>
      <c r="J24" s="3"/>
      <c r="O24" s="92"/>
      <c r="P24" s="93"/>
    </row>
    <row r="25" spans="1:17" s="4" customFormat="1">
      <c r="A25" s="163">
        <v>44224</v>
      </c>
      <c r="B25" s="164">
        <v>0</v>
      </c>
      <c r="C25" s="162">
        <v>0</v>
      </c>
      <c r="D25" s="162">
        <v>1</v>
      </c>
      <c r="E25" s="162">
        <v>0</v>
      </c>
      <c r="F25" s="4" t="s">
        <v>39</v>
      </c>
      <c r="G25" s="3"/>
      <c r="H25" s="3"/>
      <c r="I25" s="3"/>
      <c r="J25" s="3"/>
      <c r="O25" s="92"/>
      <c r="P25" s="93"/>
    </row>
    <row r="26" spans="1:17" s="4" customFormat="1">
      <c r="A26" s="163">
        <v>44242</v>
      </c>
      <c r="B26" s="164">
        <v>25</v>
      </c>
      <c r="C26" s="162">
        <v>0</v>
      </c>
      <c r="D26" s="162">
        <v>0</v>
      </c>
      <c r="E26" s="162">
        <v>0</v>
      </c>
      <c r="G26" s="3"/>
      <c r="H26" s="3"/>
      <c r="I26" s="3"/>
      <c r="J26" s="3"/>
      <c r="O26" s="92"/>
      <c r="P26" s="93"/>
    </row>
    <row r="27" spans="1:17" s="4" customFormat="1">
      <c r="A27" s="163">
        <v>44243</v>
      </c>
      <c r="B27" s="164">
        <v>10</v>
      </c>
      <c r="C27" s="162">
        <v>0</v>
      </c>
      <c r="D27" s="162">
        <v>0</v>
      </c>
      <c r="E27" s="162">
        <v>0</v>
      </c>
      <c r="G27" s="3"/>
      <c r="H27" s="3"/>
      <c r="I27" s="3"/>
      <c r="J27" s="3"/>
      <c r="O27" s="92"/>
      <c r="P27" s="93"/>
    </row>
    <row r="28" spans="1:17" s="4" customFormat="1">
      <c r="A28" s="163">
        <v>44244</v>
      </c>
      <c r="B28" s="164">
        <v>35</v>
      </c>
      <c r="C28" s="162">
        <v>0</v>
      </c>
      <c r="D28" s="162">
        <v>0</v>
      </c>
      <c r="E28" s="162">
        <v>0</v>
      </c>
      <c r="G28" s="3"/>
      <c r="H28" s="3"/>
      <c r="I28" s="3"/>
      <c r="J28" s="3"/>
      <c r="O28" s="92"/>
      <c r="P28" s="93"/>
    </row>
    <row r="29" spans="1:17" s="4" customFormat="1">
      <c r="A29" s="163">
        <v>44245</v>
      </c>
      <c r="B29" s="164">
        <v>44</v>
      </c>
      <c r="C29" s="164">
        <v>0</v>
      </c>
      <c r="D29" s="162">
        <v>0</v>
      </c>
      <c r="E29" s="162">
        <v>0</v>
      </c>
      <c r="G29" s="3"/>
      <c r="H29" s="3"/>
      <c r="I29" s="3"/>
      <c r="J29" s="3"/>
      <c r="O29" s="92"/>
      <c r="P29" s="108"/>
    </row>
    <row r="30" spans="1:17" s="4" customFormat="1">
      <c r="A30" s="163">
        <v>44246</v>
      </c>
      <c r="B30" s="164" t="s">
        <v>40</v>
      </c>
      <c r="C30" s="162">
        <v>0</v>
      </c>
      <c r="D30" s="162">
        <v>0</v>
      </c>
      <c r="E30" s="162">
        <v>0</v>
      </c>
      <c r="G30" s="3"/>
      <c r="H30" s="3"/>
      <c r="I30" s="3"/>
      <c r="J30" s="3"/>
      <c r="O30" s="92"/>
      <c r="P30" s="108"/>
    </row>
    <row r="31" spans="1:17" s="4" customFormat="1">
      <c r="A31" s="163">
        <v>44247</v>
      </c>
      <c r="B31" s="164">
        <v>100</v>
      </c>
      <c r="C31" s="162">
        <v>0</v>
      </c>
      <c r="D31" s="162">
        <v>1</v>
      </c>
      <c r="E31" s="162">
        <v>0</v>
      </c>
      <c r="F31" s="4" t="s">
        <v>41</v>
      </c>
      <c r="G31" s="3"/>
      <c r="H31" s="3"/>
      <c r="I31" s="3"/>
      <c r="J31" s="3"/>
      <c r="O31" s="92"/>
      <c r="P31" s="108"/>
    </row>
    <row r="32" spans="1:17">
      <c r="A32" s="163">
        <v>44248</v>
      </c>
      <c r="B32" s="164">
        <v>138</v>
      </c>
      <c r="C32" s="162">
        <v>0</v>
      </c>
      <c r="D32" s="162">
        <v>0</v>
      </c>
      <c r="E32" s="162">
        <v>0</v>
      </c>
      <c r="O32" s="92"/>
      <c r="P32" s="108"/>
      <c r="Q32" s="4"/>
    </row>
    <row r="33" spans="1:17">
      <c r="A33" s="163">
        <v>44249</v>
      </c>
      <c r="B33" s="164">
        <v>90</v>
      </c>
      <c r="C33" s="162">
        <v>49</v>
      </c>
      <c r="D33" s="162">
        <v>1</v>
      </c>
      <c r="E33" s="162">
        <v>0</v>
      </c>
      <c r="F33" s="3" t="s">
        <v>42</v>
      </c>
      <c r="O33" s="4"/>
      <c r="P33" s="4"/>
      <c r="Q33" s="4"/>
    </row>
    <row r="34" spans="1:17">
      <c r="A34" s="163">
        <v>44250</v>
      </c>
      <c r="B34" s="164">
        <v>37</v>
      </c>
      <c r="C34" s="162">
        <v>34</v>
      </c>
      <c r="D34" s="162">
        <v>0</v>
      </c>
      <c r="E34" s="162">
        <v>0</v>
      </c>
      <c r="O34" s="4"/>
      <c r="P34" s="4"/>
      <c r="Q34" s="4"/>
    </row>
    <row r="35" spans="1:17">
      <c r="A35" s="163">
        <v>44251</v>
      </c>
      <c r="B35" s="164">
        <v>128</v>
      </c>
      <c r="C35" s="164">
        <v>7</v>
      </c>
      <c r="D35" s="162">
        <v>5</v>
      </c>
      <c r="E35" s="162">
        <v>0</v>
      </c>
      <c r="F35" s="3" t="s">
        <v>43</v>
      </c>
    </row>
    <row r="36" spans="1:17">
      <c r="A36" s="163">
        <v>44252</v>
      </c>
      <c r="B36" s="164">
        <v>75</v>
      </c>
      <c r="C36" s="162">
        <v>31</v>
      </c>
      <c r="D36" s="162">
        <v>0</v>
      </c>
      <c r="E36" s="162">
        <v>0</v>
      </c>
    </row>
    <row r="37" spans="1:17">
      <c r="A37" s="163">
        <v>44253</v>
      </c>
      <c r="B37" s="164">
        <v>80</v>
      </c>
      <c r="C37" s="164">
        <v>243</v>
      </c>
      <c r="D37" s="162">
        <v>23</v>
      </c>
      <c r="E37" s="162">
        <v>0</v>
      </c>
    </row>
    <row r="38" spans="1:17">
      <c r="A38" s="163">
        <v>44254</v>
      </c>
      <c r="B38" s="164">
        <v>161</v>
      </c>
      <c r="C38" s="162">
        <v>31</v>
      </c>
      <c r="D38" s="162">
        <v>0</v>
      </c>
      <c r="E38" s="162">
        <v>0</v>
      </c>
      <c r="F38" s="3" t="s">
        <v>44</v>
      </c>
    </row>
    <row r="39" spans="1:17">
      <c r="A39" s="163">
        <v>44255</v>
      </c>
      <c r="B39" s="164">
        <v>300</v>
      </c>
      <c r="C39" s="164">
        <v>50</v>
      </c>
      <c r="D39" s="162">
        <v>0</v>
      </c>
      <c r="E39" s="162">
        <v>0</v>
      </c>
    </row>
    <row r="40" spans="1:17">
      <c r="A40" s="163">
        <v>44256</v>
      </c>
      <c r="B40" s="164">
        <v>116</v>
      </c>
      <c r="C40" s="164">
        <v>124</v>
      </c>
      <c r="D40" s="162">
        <v>4</v>
      </c>
      <c r="E40" s="162">
        <v>0</v>
      </c>
      <c r="F40" s="3" t="s">
        <v>45</v>
      </c>
    </row>
    <row r="41" spans="1:17">
      <c r="A41" s="163">
        <v>44257</v>
      </c>
      <c r="B41" s="164">
        <v>100</v>
      </c>
      <c r="C41" s="164">
        <v>185</v>
      </c>
      <c r="D41" s="162">
        <v>4</v>
      </c>
      <c r="E41" s="162">
        <v>0</v>
      </c>
      <c r="F41" s="3" t="s">
        <v>46</v>
      </c>
    </row>
    <row r="42" spans="1:17">
      <c r="A42" s="163">
        <v>44258</v>
      </c>
      <c r="B42" s="164">
        <v>127</v>
      </c>
      <c r="C42" s="164">
        <v>27</v>
      </c>
      <c r="D42" s="164">
        <v>1</v>
      </c>
      <c r="E42" s="164">
        <v>0</v>
      </c>
    </row>
    <row r="43" spans="1:17">
      <c r="A43" s="163">
        <v>44259</v>
      </c>
      <c r="B43" s="164">
        <v>187</v>
      </c>
      <c r="C43" s="164">
        <v>3</v>
      </c>
      <c r="D43" s="171">
        <v>4</v>
      </c>
      <c r="E43" s="162">
        <v>0</v>
      </c>
      <c r="F43" s="3" t="s">
        <v>47</v>
      </c>
    </row>
    <row r="44" spans="1:17">
      <c r="A44" s="163">
        <v>44260</v>
      </c>
      <c r="B44" s="164">
        <v>55</v>
      </c>
      <c r="C44" s="162">
        <v>75</v>
      </c>
      <c r="D44" s="162">
        <v>0</v>
      </c>
      <c r="E44" s="162">
        <v>0</v>
      </c>
      <c r="F44" s="3" t="s">
        <v>48</v>
      </c>
    </row>
    <row r="45" spans="1:17">
      <c r="A45" s="163">
        <v>44261</v>
      </c>
      <c r="B45" s="164">
        <v>132</v>
      </c>
      <c r="C45" s="164">
        <v>64</v>
      </c>
      <c r="D45" s="170">
        <v>29</v>
      </c>
      <c r="E45" s="164">
        <v>0</v>
      </c>
      <c r="F45" s="3" t="s">
        <v>49</v>
      </c>
      <c r="G45" s="68"/>
      <c r="H45" s="68"/>
    </row>
    <row r="46" spans="1:17">
      <c r="A46" s="163">
        <v>44262</v>
      </c>
      <c r="B46" s="164">
        <v>135</v>
      </c>
      <c r="C46" s="164"/>
      <c r="D46" s="162">
        <v>3</v>
      </c>
      <c r="E46" s="162">
        <v>0</v>
      </c>
      <c r="F46" s="3" t="s">
        <v>50</v>
      </c>
    </row>
    <row r="47" spans="1:17">
      <c r="A47" s="163">
        <v>44263</v>
      </c>
      <c r="B47" s="164">
        <v>60</v>
      </c>
      <c r="C47" s="164">
        <v>0</v>
      </c>
      <c r="D47" s="162">
        <v>0</v>
      </c>
      <c r="E47" s="162">
        <v>0</v>
      </c>
    </row>
    <row r="48" spans="1:17">
      <c r="A48" s="163">
        <v>44264</v>
      </c>
      <c r="B48" s="164">
        <v>62</v>
      </c>
      <c r="C48" s="162">
        <v>0</v>
      </c>
      <c r="D48" s="162">
        <v>0</v>
      </c>
      <c r="E48" s="162">
        <v>0</v>
      </c>
    </row>
    <row r="49" spans="1:6">
      <c r="A49" s="163">
        <v>44265</v>
      </c>
      <c r="B49" s="164">
        <v>73</v>
      </c>
      <c r="C49" s="164">
        <v>2</v>
      </c>
      <c r="D49" s="164">
        <v>1</v>
      </c>
      <c r="E49" s="164">
        <v>0</v>
      </c>
      <c r="F49" s="3" t="s">
        <v>51</v>
      </c>
    </row>
    <row r="50" spans="1:6">
      <c r="A50" s="163">
        <v>44266</v>
      </c>
      <c r="B50" s="164">
        <v>59</v>
      </c>
      <c r="C50" s="164">
        <v>2</v>
      </c>
      <c r="D50" s="164">
        <v>2</v>
      </c>
      <c r="E50" s="164">
        <v>0</v>
      </c>
      <c r="F50" s="3" t="s">
        <v>52</v>
      </c>
    </row>
    <row r="51" spans="1:6">
      <c r="A51" s="163">
        <v>44267</v>
      </c>
      <c r="B51" s="164">
        <v>0</v>
      </c>
      <c r="C51" s="164">
        <v>0</v>
      </c>
      <c r="D51" s="162">
        <v>0</v>
      </c>
      <c r="E51" s="164">
        <v>0</v>
      </c>
    </row>
    <row r="52" spans="1:6">
      <c r="A52" s="163">
        <v>44268</v>
      </c>
      <c r="B52" s="164">
        <v>124</v>
      </c>
      <c r="C52" s="164">
        <v>0</v>
      </c>
      <c r="D52" s="164">
        <v>0</v>
      </c>
      <c r="E52" s="162">
        <v>0</v>
      </c>
    </row>
    <row r="53" spans="1:6">
      <c r="A53" s="163">
        <v>44269</v>
      </c>
      <c r="B53" s="164">
        <v>100</v>
      </c>
      <c r="C53" s="162">
        <v>0</v>
      </c>
      <c r="D53" s="162">
        <v>0</v>
      </c>
      <c r="E53" s="162">
        <v>0</v>
      </c>
    </row>
    <row r="54" spans="1:6">
      <c r="A54" s="163">
        <v>44270</v>
      </c>
      <c r="B54" s="164">
        <v>78</v>
      </c>
      <c r="C54" s="162">
        <v>0</v>
      </c>
      <c r="D54" s="162">
        <v>1</v>
      </c>
      <c r="E54" s="162">
        <v>0</v>
      </c>
      <c r="F54" s="3" t="s">
        <v>53</v>
      </c>
    </row>
    <row r="55" spans="1:6">
      <c r="A55" s="163">
        <v>44271</v>
      </c>
      <c r="B55" s="164">
        <v>100</v>
      </c>
      <c r="C55" s="162">
        <v>40</v>
      </c>
      <c r="D55" s="162">
        <v>0</v>
      </c>
      <c r="E55" s="164">
        <v>0</v>
      </c>
    </row>
    <row r="56" spans="1:6">
      <c r="A56" s="163">
        <v>44272</v>
      </c>
      <c r="B56" s="164">
        <v>95</v>
      </c>
      <c r="C56" s="162">
        <v>0</v>
      </c>
      <c r="D56" s="162">
        <v>0</v>
      </c>
      <c r="E56" s="164">
        <v>0</v>
      </c>
    </row>
    <row r="57" spans="1:6">
      <c r="A57" s="163">
        <v>44273</v>
      </c>
      <c r="B57" s="164">
        <v>63</v>
      </c>
      <c r="C57" s="162">
        <v>0</v>
      </c>
      <c r="D57" s="164">
        <v>0</v>
      </c>
      <c r="E57" s="164">
        <v>0</v>
      </c>
    </row>
    <row r="58" spans="1:6">
      <c r="A58" s="163">
        <v>44274</v>
      </c>
      <c r="B58" s="164">
        <v>65</v>
      </c>
      <c r="C58" s="162">
        <v>0</v>
      </c>
      <c r="D58" s="162">
        <v>0</v>
      </c>
      <c r="E58" s="164">
        <v>0</v>
      </c>
    </row>
    <row r="59" spans="1:6">
      <c r="A59" s="163">
        <v>44275</v>
      </c>
      <c r="B59" s="164">
        <v>55</v>
      </c>
      <c r="C59" s="162">
        <v>0</v>
      </c>
      <c r="D59" s="162">
        <v>0</v>
      </c>
      <c r="E59" s="164">
        <v>0</v>
      </c>
    </row>
    <row r="60" spans="1:6">
      <c r="A60" s="163">
        <v>44276</v>
      </c>
      <c r="B60" s="164">
        <v>165</v>
      </c>
      <c r="C60" s="162">
        <v>0</v>
      </c>
      <c r="D60" s="164">
        <v>0</v>
      </c>
      <c r="E60" s="162">
        <v>0</v>
      </c>
    </row>
    <row r="61" spans="1:6">
      <c r="A61" s="163">
        <v>44277</v>
      </c>
      <c r="B61" s="164">
        <v>62</v>
      </c>
      <c r="C61" s="164">
        <v>0</v>
      </c>
      <c r="D61" s="164">
        <v>0</v>
      </c>
      <c r="E61" s="162">
        <v>0</v>
      </c>
    </row>
    <row r="62" spans="1:6">
      <c r="A62" s="163">
        <v>44278</v>
      </c>
      <c r="B62" s="164">
        <v>77</v>
      </c>
      <c r="C62" s="162">
        <v>0</v>
      </c>
      <c r="D62" s="164">
        <v>0</v>
      </c>
      <c r="E62" s="164">
        <v>0</v>
      </c>
    </row>
    <row r="63" spans="1:6">
      <c r="A63" s="163">
        <v>44279</v>
      </c>
      <c r="B63" s="164">
        <v>122</v>
      </c>
      <c r="C63" s="162">
        <v>0</v>
      </c>
      <c r="D63" s="164">
        <v>0</v>
      </c>
      <c r="E63" s="164">
        <v>0</v>
      </c>
    </row>
    <row r="64" spans="1:6">
      <c r="A64" s="163">
        <v>44280</v>
      </c>
      <c r="B64" s="164">
        <v>181</v>
      </c>
      <c r="C64" s="162">
        <v>93</v>
      </c>
      <c r="D64" s="164">
        <v>20</v>
      </c>
      <c r="E64" s="164">
        <v>0</v>
      </c>
      <c r="F64" s="3" t="s">
        <v>54</v>
      </c>
    </row>
    <row r="65" spans="1:6">
      <c r="A65" s="163">
        <v>44281</v>
      </c>
      <c r="B65" s="164">
        <v>450</v>
      </c>
      <c r="C65" s="162">
        <v>200</v>
      </c>
      <c r="D65" s="170">
        <v>41</v>
      </c>
      <c r="E65" s="162">
        <v>0</v>
      </c>
      <c r="F65" s="3" t="s">
        <v>55</v>
      </c>
    </row>
    <row r="66" spans="1:6">
      <c r="A66" s="163">
        <v>44282</v>
      </c>
      <c r="B66" s="164"/>
      <c r="C66" s="164"/>
      <c r="D66" s="164">
        <v>1</v>
      </c>
      <c r="E66" s="164">
        <v>0</v>
      </c>
      <c r="F66" s="3" t="s">
        <v>56</v>
      </c>
    </row>
    <row r="67" spans="1:6">
      <c r="A67" s="163">
        <v>44283</v>
      </c>
      <c r="B67" s="164">
        <v>237</v>
      </c>
      <c r="C67" s="164">
        <v>0</v>
      </c>
      <c r="D67" s="164">
        <v>0</v>
      </c>
      <c r="E67" s="162">
        <v>0</v>
      </c>
    </row>
    <row r="68" spans="1:6">
      <c r="A68" s="163">
        <v>44284</v>
      </c>
      <c r="B68" s="164">
        <v>232</v>
      </c>
      <c r="C68" s="164">
        <v>0</v>
      </c>
      <c r="D68" s="170">
        <v>4</v>
      </c>
      <c r="E68" s="162">
        <v>0</v>
      </c>
      <c r="F68" s="3" t="s">
        <v>57</v>
      </c>
    </row>
    <row r="69" spans="1:6">
      <c r="A69" s="163">
        <v>44285</v>
      </c>
      <c r="B69" s="164">
        <v>108</v>
      </c>
      <c r="C69" s="162">
        <v>0</v>
      </c>
      <c r="D69" s="164">
        <v>0</v>
      </c>
      <c r="E69" s="164">
        <v>0</v>
      </c>
    </row>
    <row r="70" spans="1:6">
      <c r="A70" s="163">
        <v>44286</v>
      </c>
      <c r="B70" s="164">
        <v>44</v>
      </c>
      <c r="C70" s="164">
        <v>66</v>
      </c>
      <c r="D70" s="164">
        <v>0</v>
      </c>
      <c r="E70" s="164">
        <v>0</v>
      </c>
    </row>
    <row r="71" spans="1:6">
      <c r="A71" s="163">
        <v>44287</v>
      </c>
      <c r="B71" s="164">
        <v>65</v>
      </c>
      <c r="C71" s="164">
        <v>0</v>
      </c>
      <c r="D71" s="164">
        <v>0</v>
      </c>
      <c r="E71" s="164">
        <v>0</v>
      </c>
    </row>
    <row r="72" spans="1:6">
      <c r="A72" s="163">
        <v>44288</v>
      </c>
      <c r="B72" s="164">
        <v>7</v>
      </c>
      <c r="C72" s="164">
        <v>0</v>
      </c>
      <c r="D72" s="164">
        <v>0</v>
      </c>
      <c r="E72" s="164">
        <v>0</v>
      </c>
      <c r="F72" s="3" t="s">
        <v>58</v>
      </c>
    </row>
    <row r="73" spans="1:6">
      <c r="A73" s="163"/>
      <c r="B73" s="164"/>
      <c r="C73" s="164"/>
      <c r="D73" s="164"/>
      <c r="E73" s="164"/>
    </row>
    <row r="74" spans="1:6">
      <c r="A74" s="163"/>
      <c r="B74" s="164"/>
      <c r="C74" s="164"/>
      <c r="D74" s="164"/>
      <c r="E74" s="164"/>
    </row>
    <row r="75" spans="1:6">
      <c r="A75" s="163"/>
      <c r="B75" s="164"/>
      <c r="C75" s="164"/>
      <c r="D75" s="164"/>
      <c r="E75" s="164"/>
    </row>
    <row r="76" spans="1:6">
      <c r="A76" s="163"/>
      <c r="B76" s="164"/>
      <c r="C76" s="162"/>
      <c r="D76" s="164"/>
      <c r="E76" s="164"/>
    </row>
    <row r="77" spans="1:6">
      <c r="A77" s="163"/>
      <c r="B77" s="164"/>
      <c r="C77" s="162"/>
      <c r="D77" s="164"/>
      <c r="E77" s="162"/>
    </row>
    <row r="78" spans="1:6">
      <c r="A78" s="109"/>
      <c r="B78" s="154"/>
      <c r="C78" s="110"/>
      <c r="D78" s="116"/>
      <c r="E78" s="110"/>
    </row>
    <row r="79" spans="1:6">
      <c r="A79" s="109"/>
      <c r="B79" s="154"/>
      <c r="C79" s="110"/>
      <c r="D79" s="116"/>
      <c r="E79" s="110"/>
    </row>
    <row r="80" spans="1:6">
      <c r="A80" s="109"/>
      <c r="B80" s="154"/>
      <c r="C80" s="110"/>
      <c r="D80" s="116"/>
      <c r="E80" s="110"/>
    </row>
    <row r="81" spans="1:5">
      <c r="A81" s="109"/>
      <c r="B81" s="154"/>
      <c r="C81" s="110"/>
      <c r="D81" s="116"/>
      <c r="E81" s="110"/>
    </row>
    <row r="82" spans="1:5">
      <c r="A82" s="109"/>
      <c r="B82" s="154"/>
      <c r="C82" s="110"/>
      <c r="D82" s="116"/>
      <c r="E82" s="110"/>
    </row>
    <row r="83" spans="1:5">
      <c r="A83" s="109"/>
      <c r="B83" s="154"/>
      <c r="C83" s="110"/>
      <c r="D83" s="116"/>
      <c r="E83" s="110"/>
    </row>
    <row r="84" spans="1:5">
      <c r="A84" s="109"/>
      <c r="B84" s="154"/>
      <c r="C84" s="110"/>
      <c r="D84" s="116"/>
      <c r="E84" s="110"/>
    </row>
    <row r="85" spans="1:5">
      <c r="A85" s="109"/>
      <c r="B85" s="154"/>
      <c r="C85" s="110"/>
      <c r="D85" s="116"/>
      <c r="E85" s="110"/>
    </row>
    <row r="86" spans="1:5">
      <c r="A86" s="109"/>
      <c r="B86" s="154"/>
      <c r="C86" s="110"/>
      <c r="D86" s="116"/>
      <c r="E86" s="110"/>
    </row>
    <row r="87" spans="1:5">
      <c r="A87" s="109"/>
      <c r="B87" s="154"/>
      <c r="C87" s="110"/>
      <c r="D87" s="116"/>
      <c r="E87" s="110"/>
    </row>
    <row r="88" spans="1:5">
      <c r="A88" s="109"/>
      <c r="B88" s="154"/>
      <c r="C88" s="110"/>
      <c r="D88" s="116"/>
      <c r="E88" s="110"/>
    </row>
    <row r="89" spans="1:5">
      <c r="A89" s="109"/>
      <c r="B89" s="154"/>
      <c r="C89" s="110"/>
      <c r="D89" s="116"/>
      <c r="E89" s="110"/>
    </row>
    <row r="90" spans="1:5">
      <c r="A90" s="109"/>
      <c r="B90" s="154"/>
      <c r="C90" s="110"/>
      <c r="D90" s="116"/>
      <c r="E90" s="110"/>
    </row>
    <row r="91" spans="1:5">
      <c r="A91" s="109"/>
      <c r="B91" s="154"/>
      <c r="C91" s="110"/>
      <c r="D91" s="116"/>
      <c r="E91" s="110"/>
    </row>
    <row r="92" spans="1:5">
      <c r="A92" s="109"/>
      <c r="B92" s="154"/>
      <c r="C92" s="110"/>
      <c r="D92" s="116"/>
      <c r="E92" s="110"/>
    </row>
    <row r="93" spans="1:5">
      <c r="A93" s="109"/>
      <c r="B93" s="154"/>
      <c r="C93" s="110"/>
      <c r="D93" s="116"/>
      <c r="E93" s="110"/>
    </row>
    <row r="94" spans="1:5">
      <c r="A94" s="109"/>
      <c r="B94" s="154"/>
      <c r="C94" s="110"/>
      <c r="D94" s="116"/>
      <c r="E94" s="110"/>
    </row>
    <row r="95" spans="1:5">
      <c r="A95" s="109"/>
      <c r="B95" s="154"/>
      <c r="C95" s="110"/>
      <c r="D95" s="116"/>
      <c r="E95" s="110"/>
    </row>
    <row r="96" spans="1:5">
      <c r="A96" s="109"/>
      <c r="B96" s="154"/>
      <c r="C96" s="110"/>
      <c r="D96" s="116"/>
      <c r="E96" s="110"/>
    </row>
    <row r="97" spans="1:5" s="114" customFormat="1">
      <c r="A97" s="115"/>
      <c r="B97" s="155"/>
      <c r="C97" s="129"/>
      <c r="D97" s="117"/>
      <c r="E97" s="113"/>
    </row>
    <row r="99" spans="1:5">
      <c r="A99" s="111"/>
      <c r="B99" s="111"/>
      <c r="C99" s="112"/>
      <c r="D99" s="112"/>
      <c r="E99" s="112"/>
    </row>
    <row r="100" spans="1:5">
      <c r="A100" s="111"/>
      <c r="B100" s="111"/>
      <c r="C100" s="112"/>
      <c r="D100" s="112"/>
      <c r="E100" s="112"/>
    </row>
    <row r="101" spans="1:5">
      <c r="A101" s="111"/>
      <c r="B101" s="111"/>
      <c r="C101" s="112"/>
      <c r="D101" s="112"/>
      <c r="E101" s="112"/>
    </row>
    <row r="102" spans="1:5">
      <c r="A102" s="111"/>
      <c r="B102" s="111"/>
      <c r="C102" s="112"/>
      <c r="D102" s="112"/>
      <c r="E102" s="112"/>
    </row>
    <row r="103" spans="1:5">
      <c r="A103" s="111"/>
      <c r="B103" s="111"/>
      <c r="C103" s="112"/>
      <c r="D103" s="112"/>
      <c r="E103" s="112"/>
    </row>
    <row r="104" spans="1:5">
      <c r="A104" s="111"/>
      <c r="B104" s="111"/>
      <c r="C104" s="112"/>
      <c r="D104" s="112"/>
      <c r="E104" s="112"/>
    </row>
    <row r="105" spans="1:5">
      <c r="A105" s="111"/>
      <c r="B105" s="111"/>
      <c r="C105" s="112"/>
      <c r="D105" s="112"/>
      <c r="E105" s="112"/>
    </row>
    <row r="106" spans="1:5">
      <c r="A106" s="111"/>
      <c r="B106" s="111"/>
      <c r="C106" s="112"/>
      <c r="D106" s="112"/>
      <c r="E106" s="112"/>
    </row>
    <row r="107" spans="1:5">
      <c r="A107" s="111"/>
      <c r="B107" s="111"/>
      <c r="C107" s="112"/>
      <c r="D107" s="112"/>
      <c r="E107" s="112"/>
    </row>
    <row r="108" spans="1:5">
      <c r="A108" s="111"/>
      <c r="B108" s="111"/>
      <c r="C108" s="112"/>
      <c r="D108" s="112"/>
      <c r="E108" s="112"/>
    </row>
    <row r="109" spans="1:5">
      <c r="A109" s="111"/>
      <c r="B109" s="111"/>
      <c r="C109" s="112"/>
      <c r="D109" s="112"/>
      <c r="E109" s="112"/>
    </row>
    <row r="110" spans="1:5">
      <c r="A110" s="111"/>
      <c r="B110" s="111"/>
      <c r="C110" s="112"/>
      <c r="D110" s="112"/>
      <c r="E110" s="112"/>
    </row>
    <row r="111" spans="1:5">
      <c r="A111" s="111"/>
      <c r="B111" s="111"/>
      <c r="C111" s="112"/>
      <c r="D111" s="112"/>
      <c r="E111" s="112"/>
    </row>
    <row r="112" spans="1:5">
      <c r="A112" s="111"/>
      <c r="B112" s="111"/>
      <c r="C112" s="112"/>
      <c r="D112" s="112"/>
      <c r="E112" s="112"/>
    </row>
    <row r="113" spans="1:5">
      <c r="A113" s="111"/>
      <c r="B113" s="111"/>
      <c r="C113" s="112"/>
      <c r="D113" s="112"/>
      <c r="E113" s="112"/>
    </row>
    <row r="114" spans="1:5">
      <c r="A114" s="111"/>
      <c r="B114" s="111"/>
      <c r="C114" s="112"/>
      <c r="D114" s="112"/>
      <c r="E114" s="112"/>
    </row>
    <row r="115" spans="1:5">
      <c r="A115" s="111"/>
      <c r="B115" s="111"/>
      <c r="C115" s="112"/>
      <c r="D115" s="112"/>
      <c r="E115" s="112"/>
    </row>
    <row r="116" spans="1:5">
      <c r="A116" s="111"/>
      <c r="B116" s="111"/>
      <c r="C116" s="112"/>
      <c r="D116" s="112"/>
      <c r="E116" s="112"/>
    </row>
    <row r="117" spans="1:5">
      <c r="A117" s="111"/>
      <c r="B117" s="111"/>
      <c r="C117" s="112"/>
      <c r="D117" s="112"/>
      <c r="E117" s="112"/>
    </row>
    <row r="118" spans="1:5">
      <c r="A118" s="111"/>
      <c r="B118" s="111"/>
      <c r="C118" s="112"/>
      <c r="D118" s="112"/>
      <c r="E118" s="112"/>
    </row>
    <row r="119" spans="1:5">
      <c r="A119" s="111"/>
      <c r="B119" s="111"/>
      <c r="C119" s="112"/>
      <c r="D119" s="112"/>
      <c r="E119" s="112"/>
    </row>
    <row r="120" spans="1:5">
      <c r="A120" s="111"/>
      <c r="B120" s="111"/>
      <c r="C120" s="112"/>
      <c r="D120" s="112"/>
      <c r="E120" s="112"/>
    </row>
    <row r="121" spans="1:5">
      <c r="A121" s="111"/>
      <c r="B121" s="111"/>
      <c r="C121" s="112"/>
      <c r="D121" s="112"/>
      <c r="E121" s="112"/>
    </row>
    <row r="122" spans="1:5">
      <c r="A122" s="111"/>
      <c r="B122" s="111"/>
      <c r="C122" s="112"/>
      <c r="D122" s="112"/>
      <c r="E122" s="112"/>
    </row>
    <row r="123" spans="1:5">
      <c r="A123" s="111"/>
      <c r="B123" s="111"/>
      <c r="C123" s="112"/>
      <c r="D123" s="112"/>
      <c r="E123" s="112"/>
    </row>
    <row r="124" spans="1:5">
      <c r="A124" s="111"/>
      <c r="B124" s="111"/>
      <c r="C124" s="112"/>
      <c r="D124" s="112"/>
      <c r="E124" s="112"/>
    </row>
    <row r="125" spans="1:5">
      <c r="A125" s="111"/>
      <c r="B125" s="111"/>
      <c r="C125" s="112"/>
      <c r="D125" s="112"/>
      <c r="E125" s="112"/>
    </row>
    <row r="126" spans="1:5">
      <c r="A126" s="111"/>
      <c r="B126" s="111"/>
      <c r="C126" s="112"/>
      <c r="D126" s="112"/>
      <c r="E126" s="112"/>
    </row>
    <row r="127" spans="1:5">
      <c r="A127" s="111"/>
      <c r="B127" s="111"/>
      <c r="C127" s="112"/>
      <c r="D127" s="112"/>
      <c r="E127" s="112"/>
    </row>
    <row r="128" spans="1:5">
      <c r="A128" s="111"/>
      <c r="B128" s="111"/>
      <c r="C128" s="112"/>
      <c r="D128" s="112"/>
      <c r="E128" s="112"/>
    </row>
    <row r="129" spans="1:5">
      <c r="A129" s="111"/>
      <c r="B129" s="111"/>
      <c r="C129" s="112"/>
      <c r="D129" s="112"/>
      <c r="E129" s="112"/>
    </row>
    <row r="130" spans="1:5">
      <c r="A130" s="111"/>
      <c r="B130" s="111"/>
      <c r="C130" s="112"/>
      <c r="D130" s="112"/>
      <c r="E130" s="112"/>
    </row>
    <row r="131" spans="1:5">
      <c r="A131" s="111"/>
      <c r="B131" s="111"/>
      <c r="C131" s="112"/>
      <c r="D131" s="112"/>
      <c r="E131" s="112"/>
    </row>
    <row r="132" spans="1:5">
      <c r="A132" s="111"/>
      <c r="B132" s="111"/>
      <c r="C132" s="112"/>
      <c r="D132" s="112"/>
      <c r="E132" s="112"/>
    </row>
    <row r="133" spans="1:5">
      <c r="A133" s="111"/>
      <c r="B133" s="111"/>
      <c r="C133" s="112"/>
      <c r="D133" s="112"/>
      <c r="E133" s="112"/>
    </row>
    <row r="134" spans="1:5">
      <c r="A134" s="111"/>
      <c r="B134" s="111"/>
      <c r="C134" s="112"/>
      <c r="D134" s="112"/>
      <c r="E134" s="112"/>
    </row>
    <row r="135" spans="1:5">
      <c r="A135" s="111"/>
      <c r="B135" s="111"/>
      <c r="C135" s="112"/>
      <c r="D135" s="112"/>
      <c r="E135" s="112"/>
    </row>
    <row r="136" spans="1:5">
      <c r="A136" s="111"/>
      <c r="B136" s="111"/>
      <c r="C136" s="112"/>
      <c r="D136" s="112"/>
      <c r="E136" s="112"/>
    </row>
    <row r="137" spans="1:5">
      <c r="A137" s="111"/>
      <c r="B137" s="111"/>
      <c r="C137" s="112"/>
      <c r="D137" s="112"/>
      <c r="E137" s="112"/>
    </row>
    <row r="138" spans="1:5">
      <c r="A138" s="111"/>
      <c r="B138" s="111"/>
      <c r="C138" s="112"/>
      <c r="D138" s="112"/>
      <c r="E138" s="112"/>
    </row>
    <row r="139" spans="1:5">
      <c r="A139" s="111"/>
      <c r="B139" s="111"/>
      <c r="C139" s="112"/>
      <c r="D139" s="112"/>
      <c r="E139" s="112"/>
    </row>
    <row r="140" spans="1:5">
      <c r="A140" s="111"/>
      <c r="B140" s="111"/>
      <c r="C140" s="112"/>
      <c r="D140" s="112"/>
      <c r="E140" s="112"/>
    </row>
    <row r="141" spans="1:5">
      <c r="A141" s="111"/>
      <c r="B141" s="111"/>
      <c r="C141" s="112"/>
      <c r="D141" s="112"/>
      <c r="E141" s="112"/>
    </row>
    <row r="142" spans="1:5">
      <c r="A142" s="111"/>
      <c r="B142" s="111"/>
      <c r="C142" s="112"/>
      <c r="D142" s="112"/>
      <c r="E142" s="112"/>
    </row>
    <row r="143" spans="1:5">
      <c r="A143" s="111"/>
      <c r="B143" s="111"/>
      <c r="C143" s="112"/>
      <c r="D143" s="112"/>
      <c r="E143" s="112"/>
    </row>
    <row r="144" spans="1:5">
      <c r="A144" s="111"/>
      <c r="B144" s="111"/>
      <c r="C144" s="112"/>
      <c r="D144" s="112"/>
      <c r="E144" s="112"/>
    </row>
    <row r="145" spans="1:5">
      <c r="A145" s="111"/>
      <c r="B145" s="111"/>
      <c r="C145" s="112"/>
      <c r="D145" s="112"/>
      <c r="E145" s="112"/>
    </row>
    <row r="146" spans="1:5">
      <c r="A146" s="111"/>
      <c r="B146" s="111"/>
      <c r="C146" s="112"/>
      <c r="D146" s="112"/>
      <c r="E146" s="112"/>
    </row>
    <row r="147" spans="1:5">
      <c r="A147" s="111"/>
      <c r="B147" s="111"/>
      <c r="C147" s="112"/>
      <c r="D147" s="112"/>
      <c r="E147" s="112"/>
    </row>
    <row r="148" spans="1:5">
      <c r="A148" s="111"/>
      <c r="B148" s="111"/>
      <c r="C148" s="112"/>
      <c r="D148" s="112"/>
      <c r="E148" s="112"/>
    </row>
    <row r="149" spans="1:5">
      <c r="A149" s="111"/>
      <c r="B149" s="111"/>
      <c r="C149" s="112"/>
      <c r="D149" s="112"/>
      <c r="E149" s="112"/>
    </row>
    <row r="150" spans="1:5">
      <c r="A150" s="111"/>
      <c r="B150" s="111"/>
      <c r="C150" s="112"/>
      <c r="D150" s="112"/>
      <c r="E150" s="112"/>
    </row>
    <row r="151" spans="1:5">
      <c r="A151" s="111"/>
      <c r="B151" s="111"/>
      <c r="C151" s="112"/>
      <c r="D151" s="112"/>
      <c r="E151" s="112"/>
    </row>
    <row r="152" spans="1:5">
      <c r="A152" s="111"/>
      <c r="B152" s="111"/>
      <c r="C152" s="112"/>
      <c r="D152" s="112"/>
      <c r="E152" s="112"/>
    </row>
    <row r="153" spans="1:5">
      <c r="A153" s="111"/>
      <c r="B153" s="111"/>
      <c r="C153" s="112"/>
      <c r="D153" s="112"/>
      <c r="E153" s="112"/>
    </row>
    <row r="154" spans="1:5">
      <c r="A154" s="111"/>
      <c r="B154" s="111"/>
      <c r="C154" s="112"/>
      <c r="D154" s="112"/>
      <c r="E154" s="112"/>
    </row>
    <row r="155" spans="1:5">
      <c r="A155" s="111"/>
      <c r="B155" s="111"/>
      <c r="C155" s="112"/>
      <c r="D155" s="112"/>
      <c r="E155" s="112"/>
    </row>
    <row r="156" spans="1:5">
      <c r="A156" s="111"/>
      <c r="B156" s="111"/>
      <c r="C156" s="112"/>
      <c r="D156" s="112"/>
      <c r="E156" s="112"/>
    </row>
    <row r="157" spans="1:5">
      <c r="A157" s="111"/>
      <c r="B157" s="111"/>
      <c r="C157" s="112"/>
      <c r="D157" s="112"/>
      <c r="E157" s="112"/>
    </row>
    <row r="158" spans="1:5">
      <c r="A158" s="111"/>
      <c r="B158" s="111"/>
      <c r="C158" s="112"/>
      <c r="D158" s="112"/>
      <c r="E158" s="112"/>
    </row>
    <row r="159" spans="1:5">
      <c r="A159" s="111"/>
      <c r="B159" s="111"/>
      <c r="C159" s="112"/>
      <c r="D159" s="112"/>
      <c r="E159" s="112"/>
    </row>
    <row r="160" spans="1:5">
      <c r="A160" s="111"/>
      <c r="B160" s="111"/>
      <c r="C160" s="112"/>
      <c r="D160" s="112"/>
      <c r="E160" s="112"/>
    </row>
    <row r="161" spans="1:5">
      <c r="A161" s="111"/>
      <c r="B161" s="111"/>
      <c r="C161" s="112"/>
      <c r="D161" s="112"/>
      <c r="E161" s="112"/>
    </row>
    <row r="162" spans="1:5">
      <c r="A162" s="111"/>
      <c r="B162" s="111"/>
      <c r="C162" s="112"/>
      <c r="D162" s="112"/>
      <c r="E162" s="112"/>
    </row>
    <row r="163" spans="1:5">
      <c r="A163" s="111"/>
      <c r="B163" s="111"/>
      <c r="C163" s="112"/>
      <c r="D163" s="112"/>
      <c r="E163" s="112"/>
    </row>
    <row r="164" spans="1:5">
      <c r="A164" s="111"/>
      <c r="B164" s="111"/>
      <c r="C164" s="112"/>
      <c r="D164" s="112"/>
      <c r="E164" s="112"/>
    </row>
    <row r="165" spans="1:5">
      <c r="A165" s="111"/>
      <c r="B165" s="111"/>
      <c r="C165" s="112"/>
      <c r="D165" s="112"/>
      <c r="E165" s="112"/>
    </row>
    <row r="166" spans="1:5">
      <c r="A166" s="111"/>
      <c r="B166" s="111"/>
      <c r="C166" s="112"/>
      <c r="D166" s="112"/>
      <c r="E166" s="112"/>
    </row>
    <row r="167" spans="1:5">
      <c r="A167" s="111"/>
      <c r="B167" s="111"/>
      <c r="C167" s="112"/>
      <c r="D167" s="112"/>
      <c r="E167" s="112"/>
    </row>
    <row r="168" spans="1:5">
      <c r="A168" s="111"/>
      <c r="B168" s="111"/>
      <c r="C168" s="112"/>
      <c r="D168" s="112"/>
      <c r="E168" s="112"/>
    </row>
    <row r="169" spans="1:5">
      <c r="A169" s="111"/>
      <c r="B169" s="111"/>
      <c r="C169" s="112"/>
      <c r="D169" s="112"/>
      <c r="E169" s="112"/>
    </row>
    <row r="170" spans="1:5">
      <c r="A170" s="111"/>
      <c r="B170" s="111"/>
      <c r="C170" s="112"/>
      <c r="D170" s="112"/>
      <c r="E170" s="112"/>
    </row>
    <row r="171" spans="1:5">
      <c r="A171" s="111"/>
      <c r="B171" s="111"/>
      <c r="C171" s="112"/>
      <c r="D171" s="112"/>
      <c r="E171" s="112"/>
    </row>
    <row r="172" spans="1:5">
      <c r="A172" s="111"/>
      <c r="B172" s="111"/>
      <c r="C172" s="112"/>
      <c r="D172" s="112"/>
      <c r="E172" s="112"/>
    </row>
    <row r="173" spans="1:5">
      <c r="A173" s="111"/>
      <c r="B173" s="111"/>
      <c r="C173" s="112"/>
      <c r="D173" s="112"/>
      <c r="E173" s="112"/>
    </row>
    <row r="174" spans="1:5">
      <c r="A174" s="111"/>
      <c r="B174" s="111"/>
      <c r="C174" s="112"/>
      <c r="D174" s="112"/>
      <c r="E174" s="112"/>
    </row>
    <row r="175" spans="1:5">
      <c r="A175" s="111"/>
      <c r="B175" s="111"/>
      <c r="C175" s="112"/>
      <c r="D175" s="112"/>
      <c r="E175" s="112"/>
    </row>
    <row r="176" spans="1:5">
      <c r="A176" s="111"/>
      <c r="B176" s="111"/>
      <c r="C176" s="112"/>
      <c r="D176" s="112"/>
      <c r="E176" s="112"/>
    </row>
    <row r="177" spans="1:5">
      <c r="A177" s="111"/>
      <c r="B177" s="111"/>
      <c r="C177" s="112"/>
      <c r="D177" s="112"/>
      <c r="E177" s="112"/>
    </row>
    <row r="178" spans="1:5">
      <c r="A178" s="111"/>
      <c r="B178" s="111"/>
      <c r="C178" s="112"/>
      <c r="D178" s="112"/>
      <c r="E178" s="112"/>
    </row>
    <row r="179" spans="1:5">
      <c r="A179" s="111"/>
      <c r="B179" s="111"/>
      <c r="C179" s="112"/>
      <c r="D179" s="112"/>
      <c r="E179" s="112"/>
    </row>
    <row r="180" spans="1:5">
      <c r="A180" s="111"/>
      <c r="B180" s="111"/>
      <c r="C180" s="112"/>
      <c r="D180" s="112"/>
      <c r="E180" s="112"/>
    </row>
    <row r="181" spans="1:5">
      <c r="A181" s="111"/>
      <c r="B181" s="111"/>
      <c r="C181" s="112"/>
      <c r="D181" s="112"/>
      <c r="E181" s="112"/>
    </row>
    <row r="182" spans="1:5">
      <c r="A182" s="111"/>
      <c r="B182" s="111"/>
      <c r="C182" s="112"/>
      <c r="D182" s="112"/>
      <c r="E182" s="112"/>
    </row>
    <row r="183" spans="1:5">
      <c r="A183" s="111"/>
      <c r="B183" s="111"/>
      <c r="C183" s="112"/>
      <c r="D183" s="112"/>
      <c r="E183" s="112"/>
    </row>
    <row r="184" spans="1:5">
      <c r="A184" s="111"/>
      <c r="B184" s="111"/>
      <c r="C184" s="112"/>
      <c r="D184" s="112"/>
      <c r="E184" s="112"/>
    </row>
    <row r="185" spans="1:5">
      <c r="A185" s="111"/>
      <c r="B185" s="111"/>
      <c r="C185" s="112"/>
      <c r="D185" s="112"/>
      <c r="E185" s="112"/>
    </row>
    <row r="186" spans="1:5">
      <c r="A186" s="111"/>
      <c r="B186" s="111"/>
      <c r="C186" s="112"/>
      <c r="D186" s="112"/>
      <c r="E186" s="112"/>
    </row>
    <row r="187" spans="1:5">
      <c r="A187" s="111"/>
      <c r="B187" s="111"/>
      <c r="C187" s="112"/>
      <c r="D187" s="112"/>
      <c r="E187" s="112"/>
    </row>
    <row r="188" spans="1:5">
      <c r="A188" s="55"/>
      <c r="B188" s="55"/>
    </row>
    <row r="189" spans="1:5">
      <c r="A189" s="55"/>
      <c r="B189" s="55"/>
    </row>
    <row r="190" spans="1:5">
      <c r="A190" s="55"/>
      <c r="B190" s="55"/>
    </row>
    <row r="191" spans="1:5">
      <c r="A191" s="55"/>
      <c r="B191" s="55"/>
    </row>
    <row r="192" spans="1:5">
      <c r="A192" s="55"/>
      <c r="B192" s="55"/>
    </row>
    <row r="193" spans="1:2">
      <c r="A193" s="55"/>
      <c r="B193" s="55"/>
    </row>
    <row r="194" spans="1:2">
      <c r="A194" s="55"/>
      <c r="B194" s="55"/>
    </row>
    <row r="195" spans="1:2">
      <c r="A195" s="55"/>
      <c r="B195" s="55"/>
    </row>
    <row r="196" spans="1:2">
      <c r="A196" s="55"/>
      <c r="B196" s="55"/>
    </row>
    <row r="197" spans="1:2">
      <c r="A197" s="55"/>
      <c r="B197" s="55"/>
    </row>
    <row r="198" spans="1:2">
      <c r="A198" s="55"/>
      <c r="B198" s="55"/>
    </row>
    <row r="199" spans="1:2">
      <c r="A199" s="55"/>
      <c r="B199" s="55"/>
    </row>
    <row r="200" spans="1:2">
      <c r="A200" s="55"/>
      <c r="B200" s="55"/>
    </row>
    <row r="201" spans="1:2">
      <c r="A201" s="96"/>
      <c r="B201" s="96"/>
    </row>
    <row r="202" spans="1:2">
      <c r="A202" s="96"/>
      <c r="B202" s="96"/>
    </row>
    <row r="203" spans="1:2">
      <c r="A203" s="96"/>
      <c r="B203" s="96"/>
    </row>
    <row r="204" spans="1:2">
      <c r="A204" s="96"/>
      <c r="B204" s="96"/>
    </row>
    <row r="205" spans="1:2">
      <c r="A205" s="96"/>
      <c r="B205" s="96"/>
    </row>
    <row r="206" spans="1:2">
      <c r="A206" s="96"/>
      <c r="B206" s="96"/>
    </row>
    <row r="207" spans="1:2">
      <c r="A207" s="96"/>
      <c r="B207" s="96"/>
    </row>
  </sheetData>
  <mergeCells count="7">
    <mergeCell ref="A1:A3"/>
    <mergeCell ref="C17:F17"/>
    <mergeCell ref="G17:J17"/>
    <mergeCell ref="E2:F2"/>
    <mergeCell ref="I2:J2"/>
    <mergeCell ref="C1:F1"/>
    <mergeCell ref="G1:J1"/>
  </mergeCells>
  <pageMargins left="0.7" right="0.7" top="0.75" bottom="0.75" header="0.3" footer="0.3"/>
  <pageSetup scale="48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97EE-9205-428F-9F59-7B9C1E039E51}">
  <dimension ref="A1:I46"/>
  <sheetViews>
    <sheetView topLeftCell="A13" workbookViewId="0">
      <selection activeCell="G42" sqref="G42"/>
    </sheetView>
  </sheetViews>
  <sheetFormatPr defaultRowHeight="14.45"/>
  <sheetData>
    <row r="1" spans="1:9">
      <c r="A1" s="168" t="s">
        <v>59</v>
      </c>
      <c r="I1" s="168" t="s">
        <v>60</v>
      </c>
    </row>
    <row r="2" spans="1:9">
      <c r="A2" t="s">
        <v>61</v>
      </c>
    </row>
    <row r="3" spans="1:9">
      <c r="B3" t="s">
        <v>5</v>
      </c>
      <c r="C3" t="s">
        <v>6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</row>
    <row r="4" spans="1:9">
      <c r="A4" t="s">
        <v>67</v>
      </c>
      <c r="B4" s="169">
        <v>6</v>
      </c>
      <c r="C4" s="169"/>
      <c r="D4" s="169"/>
      <c r="E4" s="169"/>
      <c r="F4" s="169"/>
      <c r="G4" s="169"/>
      <c r="H4" s="169">
        <f>SUM(B4:G4)</f>
        <v>6</v>
      </c>
    </row>
    <row r="5" spans="1:9">
      <c r="A5" t="s">
        <v>15</v>
      </c>
      <c r="B5" s="169"/>
      <c r="C5" s="169"/>
      <c r="D5" s="169"/>
      <c r="E5" s="169"/>
      <c r="F5" s="169"/>
      <c r="G5" s="169"/>
      <c r="H5" s="169">
        <f t="shared" ref="H5:H11" si="0">SUM(B5:G5)</f>
        <v>0</v>
      </c>
    </row>
    <row r="6" spans="1:9">
      <c r="A6" t="s">
        <v>68</v>
      </c>
      <c r="B6" s="169">
        <v>23</v>
      </c>
      <c r="C6" s="169">
        <v>22</v>
      </c>
      <c r="D6" s="169">
        <v>9</v>
      </c>
      <c r="E6" s="169">
        <v>10</v>
      </c>
      <c r="F6" s="169">
        <v>12</v>
      </c>
      <c r="H6" s="169">
        <f>SUM(B6:F6)</f>
        <v>76</v>
      </c>
    </row>
    <row r="7" spans="1:9">
      <c r="A7" t="s">
        <v>18</v>
      </c>
      <c r="B7" s="169">
        <v>3</v>
      </c>
      <c r="C7" s="169">
        <v>2</v>
      </c>
      <c r="D7" s="169"/>
      <c r="E7" s="169">
        <v>1</v>
      </c>
      <c r="F7" s="169"/>
      <c r="G7" s="169"/>
      <c r="H7" s="169">
        <f t="shared" si="0"/>
        <v>6</v>
      </c>
    </row>
    <row r="8" spans="1:9">
      <c r="A8" t="s">
        <v>17</v>
      </c>
      <c r="B8" s="169">
        <v>10</v>
      </c>
      <c r="C8" s="169">
        <v>4</v>
      </c>
      <c r="D8" s="169">
        <v>4</v>
      </c>
      <c r="E8" s="169">
        <v>2</v>
      </c>
      <c r="F8" s="169"/>
      <c r="G8" s="169"/>
      <c r="H8" s="169">
        <f t="shared" si="0"/>
        <v>20</v>
      </c>
    </row>
    <row r="9" spans="1:9">
      <c r="A9" t="s">
        <v>19</v>
      </c>
      <c r="B9" s="169">
        <v>2</v>
      </c>
      <c r="C9" s="169">
        <v>5</v>
      </c>
      <c r="D9" s="169"/>
      <c r="E9" s="169"/>
      <c r="F9" s="169"/>
      <c r="G9" s="169"/>
      <c r="H9" s="169">
        <f t="shared" si="0"/>
        <v>7</v>
      </c>
    </row>
    <row r="10" spans="1:9">
      <c r="A10" t="s">
        <v>69</v>
      </c>
      <c r="B10" s="169">
        <v>4</v>
      </c>
      <c r="C10" s="169">
        <v>11</v>
      </c>
      <c r="D10" s="169"/>
      <c r="E10" s="169"/>
      <c r="F10" s="169"/>
      <c r="G10" s="169"/>
      <c r="H10" s="169">
        <f t="shared" si="0"/>
        <v>15</v>
      </c>
    </row>
    <row r="11" spans="1:9">
      <c r="A11" t="s">
        <v>70</v>
      </c>
      <c r="B11" s="169"/>
      <c r="C11" s="169"/>
      <c r="D11" s="169"/>
      <c r="E11" s="169"/>
      <c r="F11" s="169"/>
      <c r="G11" s="169"/>
      <c r="H11" s="169">
        <f t="shared" si="0"/>
        <v>0</v>
      </c>
    </row>
    <row r="12" spans="1:9">
      <c r="A12" t="s">
        <v>27</v>
      </c>
      <c r="B12" s="169"/>
      <c r="C12" s="169"/>
      <c r="D12" s="169"/>
      <c r="E12" s="169"/>
      <c r="F12" s="169"/>
      <c r="G12" s="169"/>
      <c r="H12" s="169">
        <f>SUM(H4:H11)</f>
        <v>130</v>
      </c>
    </row>
    <row r="15" spans="1:9">
      <c r="A15" t="s">
        <v>71</v>
      </c>
    </row>
    <row r="16" spans="1:9">
      <c r="B16" t="s">
        <v>5</v>
      </c>
      <c r="C16" t="s">
        <v>6</v>
      </c>
      <c r="D16" t="s">
        <v>62</v>
      </c>
      <c r="E16" t="s">
        <v>63</v>
      </c>
      <c r="G16" t="s">
        <v>65</v>
      </c>
      <c r="H16" t="s">
        <v>66</v>
      </c>
    </row>
    <row r="17" spans="1:8">
      <c r="A17" t="s">
        <v>67</v>
      </c>
      <c r="B17" s="169">
        <v>3</v>
      </c>
      <c r="C17" s="169">
        <v>5</v>
      </c>
      <c r="D17" s="169">
        <v>1</v>
      </c>
      <c r="E17" s="169"/>
      <c r="F17" s="169"/>
      <c r="G17" s="169">
        <v>1</v>
      </c>
      <c r="H17" s="169">
        <f>SUM(B17:G17)</f>
        <v>10</v>
      </c>
    </row>
    <row r="18" spans="1:8">
      <c r="A18" t="s">
        <v>15</v>
      </c>
      <c r="B18" s="169">
        <v>4</v>
      </c>
      <c r="C18" s="169">
        <v>2</v>
      </c>
      <c r="D18" s="169"/>
      <c r="E18" s="169"/>
      <c r="F18" s="169"/>
      <c r="G18" s="169"/>
      <c r="H18" s="169">
        <f t="shared" ref="H18:H24" si="1">SUM(B18:G18)</f>
        <v>6</v>
      </c>
    </row>
    <row r="19" spans="1:8">
      <c r="A19" t="s">
        <v>68</v>
      </c>
      <c r="B19" s="169">
        <v>1</v>
      </c>
      <c r="C19" s="169"/>
      <c r="D19" s="169"/>
      <c r="E19" s="169"/>
      <c r="F19" s="169"/>
      <c r="G19" s="169"/>
      <c r="H19" s="169">
        <f t="shared" si="1"/>
        <v>1</v>
      </c>
    </row>
    <row r="20" spans="1:8">
      <c r="A20" t="s">
        <v>18</v>
      </c>
      <c r="B20" s="169">
        <v>3</v>
      </c>
      <c r="C20" s="169"/>
      <c r="D20" s="169"/>
      <c r="E20" s="169"/>
      <c r="F20" s="169"/>
      <c r="G20" s="169"/>
      <c r="H20" s="169">
        <v>3</v>
      </c>
    </row>
    <row r="21" spans="1:8">
      <c r="A21" t="s">
        <v>17</v>
      </c>
      <c r="B21" s="169"/>
      <c r="C21" s="169"/>
      <c r="D21" s="169"/>
      <c r="E21" s="169"/>
      <c r="F21" s="169"/>
      <c r="G21" s="169"/>
      <c r="H21" s="169">
        <f t="shared" si="1"/>
        <v>0</v>
      </c>
    </row>
    <row r="22" spans="1:8">
      <c r="A22" t="s">
        <v>19</v>
      </c>
      <c r="B22" s="169">
        <v>4</v>
      </c>
      <c r="C22" s="169">
        <v>3</v>
      </c>
      <c r="D22" s="169">
        <v>1</v>
      </c>
      <c r="E22" s="169"/>
      <c r="F22" s="169"/>
      <c r="G22" s="169"/>
      <c r="H22" s="169">
        <f t="shared" si="1"/>
        <v>8</v>
      </c>
    </row>
    <row r="23" spans="1:8">
      <c r="A23" t="s">
        <v>69</v>
      </c>
      <c r="B23" s="169"/>
      <c r="C23" s="169"/>
      <c r="D23" s="169"/>
      <c r="E23" s="169"/>
      <c r="F23" s="169"/>
      <c r="G23" s="169">
        <v>5</v>
      </c>
      <c r="H23" s="169">
        <f t="shared" si="1"/>
        <v>5</v>
      </c>
    </row>
    <row r="24" spans="1:8">
      <c r="A24" t="s">
        <v>70</v>
      </c>
      <c r="B24" s="169"/>
      <c r="C24" s="169"/>
      <c r="D24" s="169"/>
      <c r="E24" s="169"/>
      <c r="F24" s="169"/>
      <c r="G24" s="169"/>
      <c r="H24" s="169">
        <f t="shared" si="1"/>
        <v>0</v>
      </c>
    </row>
    <row r="25" spans="1:8">
      <c r="A25" t="s">
        <v>27</v>
      </c>
      <c r="B25" s="169"/>
      <c r="C25" s="169"/>
      <c r="D25" s="169"/>
      <c r="E25" s="169"/>
      <c r="F25" s="169"/>
      <c r="G25" s="169"/>
      <c r="H25" s="169">
        <f>SUM(H17:H24)</f>
        <v>33</v>
      </c>
    </row>
    <row r="26" spans="1:8">
      <c r="B26" s="169"/>
      <c r="C26" s="169"/>
      <c r="D26" s="169"/>
      <c r="E26" s="169"/>
      <c r="F26" s="169"/>
      <c r="G26" s="169"/>
      <c r="H26" s="169"/>
    </row>
    <row r="28" spans="1:8">
      <c r="A28" t="s">
        <v>72</v>
      </c>
    </row>
    <row r="29" spans="1:8">
      <c r="B29" t="s">
        <v>5</v>
      </c>
      <c r="C29" t="s">
        <v>6</v>
      </c>
      <c r="D29" t="s">
        <v>62</v>
      </c>
      <c r="E29" t="s">
        <v>63</v>
      </c>
      <c r="G29" t="s">
        <v>65</v>
      </c>
      <c r="H29" t="s">
        <v>66</v>
      </c>
    </row>
    <row r="30" spans="1:8">
      <c r="A30" t="s">
        <v>67</v>
      </c>
      <c r="B30" s="169">
        <f>SUM(B4,B17)</f>
        <v>9</v>
      </c>
      <c r="C30" s="169">
        <f t="shared" ref="C30:H30" si="2">SUM(C4,C17)</f>
        <v>5</v>
      </c>
      <c r="D30" s="169">
        <f t="shared" si="2"/>
        <v>1</v>
      </c>
      <c r="E30" s="169">
        <f t="shared" si="2"/>
        <v>0</v>
      </c>
      <c r="F30" s="169"/>
      <c r="G30" s="169">
        <f t="shared" si="2"/>
        <v>1</v>
      </c>
      <c r="H30" s="169">
        <f t="shared" si="2"/>
        <v>16</v>
      </c>
    </row>
    <row r="31" spans="1:8">
      <c r="A31" t="s">
        <v>15</v>
      </c>
      <c r="B31" s="169">
        <f t="shared" ref="B31:H38" si="3">SUM(B5,B18)</f>
        <v>4</v>
      </c>
      <c r="C31" s="169">
        <f t="shared" si="3"/>
        <v>2</v>
      </c>
      <c r="D31" s="169">
        <f t="shared" si="3"/>
        <v>0</v>
      </c>
      <c r="E31" s="169">
        <f t="shared" si="3"/>
        <v>0</v>
      </c>
      <c r="F31" s="169"/>
      <c r="G31" s="169">
        <f t="shared" si="3"/>
        <v>0</v>
      </c>
      <c r="H31" s="169">
        <f t="shared" si="3"/>
        <v>6</v>
      </c>
    </row>
    <row r="32" spans="1:8">
      <c r="A32" t="s">
        <v>68</v>
      </c>
      <c r="B32" s="169">
        <f t="shared" si="3"/>
        <v>24</v>
      </c>
      <c r="C32" s="169">
        <f t="shared" si="3"/>
        <v>22</v>
      </c>
      <c r="D32" s="169">
        <f t="shared" si="3"/>
        <v>9</v>
      </c>
      <c r="E32" s="169">
        <f t="shared" si="3"/>
        <v>10</v>
      </c>
      <c r="F32" s="169"/>
      <c r="G32" s="169">
        <f>SUM(F6,G19)</f>
        <v>12</v>
      </c>
      <c r="H32" s="169">
        <f t="shared" si="3"/>
        <v>77</v>
      </c>
    </row>
    <row r="33" spans="1:8">
      <c r="A33" t="s">
        <v>18</v>
      </c>
      <c r="B33" s="169">
        <f t="shared" si="3"/>
        <v>6</v>
      </c>
      <c r="C33" s="169">
        <f t="shared" si="3"/>
        <v>2</v>
      </c>
      <c r="D33" s="169">
        <f t="shared" si="3"/>
        <v>0</v>
      </c>
      <c r="E33" s="169">
        <f t="shared" si="3"/>
        <v>1</v>
      </c>
      <c r="F33" s="169"/>
      <c r="G33" s="169">
        <f t="shared" si="3"/>
        <v>0</v>
      </c>
      <c r="H33" s="169">
        <f t="shared" si="3"/>
        <v>9</v>
      </c>
    </row>
    <row r="34" spans="1:8">
      <c r="A34" t="s">
        <v>17</v>
      </c>
      <c r="B34" s="169">
        <f t="shared" si="3"/>
        <v>10</v>
      </c>
      <c r="C34" s="169">
        <f t="shared" si="3"/>
        <v>4</v>
      </c>
      <c r="D34" s="169">
        <f t="shared" si="3"/>
        <v>4</v>
      </c>
      <c r="E34" s="169">
        <f t="shared" si="3"/>
        <v>2</v>
      </c>
      <c r="F34" s="169"/>
      <c r="G34" s="169">
        <f t="shared" si="3"/>
        <v>0</v>
      </c>
      <c r="H34" s="169">
        <f t="shared" si="3"/>
        <v>20</v>
      </c>
    </row>
    <row r="35" spans="1:8">
      <c r="A35" t="s">
        <v>19</v>
      </c>
      <c r="B35" s="169">
        <f t="shared" si="3"/>
        <v>6</v>
      </c>
      <c r="C35" s="169">
        <f t="shared" si="3"/>
        <v>8</v>
      </c>
      <c r="D35" s="169">
        <f t="shared" si="3"/>
        <v>1</v>
      </c>
      <c r="E35" s="169">
        <f t="shared" si="3"/>
        <v>0</v>
      </c>
      <c r="F35" s="169"/>
      <c r="G35" s="169">
        <f t="shared" si="3"/>
        <v>0</v>
      </c>
      <c r="H35" s="169">
        <f t="shared" si="3"/>
        <v>15</v>
      </c>
    </row>
    <row r="36" spans="1:8">
      <c r="A36" t="s">
        <v>69</v>
      </c>
      <c r="B36" s="169">
        <f t="shared" si="3"/>
        <v>4</v>
      </c>
      <c r="C36" s="169">
        <f t="shared" si="3"/>
        <v>11</v>
      </c>
      <c r="D36" s="169">
        <f t="shared" si="3"/>
        <v>0</v>
      </c>
      <c r="E36" s="169">
        <f t="shared" si="3"/>
        <v>0</v>
      </c>
      <c r="F36" s="169"/>
      <c r="G36" s="169">
        <f t="shared" si="3"/>
        <v>5</v>
      </c>
      <c r="H36" s="169">
        <f t="shared" si="3"/>
        <v>20</v>
      </c>
    </row>
    <row r="37" spans="1:8">
      <c r="A37" t="s">
        <v>70</v>
      </c>
      <c r="B37" s="169">
        <f t="shared" si="3"/>
        <v>0</v>
      </c>
      <c r="C37" s="169">
        <f t="shared" si="3"/>
        <v>0</v>
      </c>
      <c r="D37" s="169">
        <f t="shared" si="3"/>
        <v>0</v>
      </c>
      <c r="E37" s="169">
        <f t="shared" si="3"/>
        <v>0</v>
      </c>
      <c r="F37" s="169"/>
      <c r="G37" s="169">
        <f t="shared" si="3"/>
        <v>0</v>
      </c>
      <c r="H37" s="169">
        <f t="shared" si="3"/>
        <v>0</v>
      </c>
    </row>
    <row r="38" spans="1:8">
      <c r="A38" t="s">
        <v>27</v>
      </c>
      <c r="B38" s="169">
        <f t="shared" si="3"/>
        <v>0</v>
      </c>
      <c r="C38" s="169">
        <f t="shared" si="3"/>
        <v>0</v>
      </c>
      <c r="D38" s="169">
        <f t="shared" si="3"/>
        <v>0</v>
      </c>
      <c r="E38" s="169">
        <f t="shared" si="3"/>
        <v>0</v>
      </c>
      <c r="F38" s="169"/>
      <c r="G38" s="169">
        <f t="shared" si="3"/>
        <v>0</v>
      </c>
      <c r="H38" s="169">
        <f t="shared" si="3"/>
        <v>163</v>
      </c>
    </row>
    <row r="42" spans="1:8">
      <c r="A42" s="169">
        <v>6</v>
      </c>
      <c r="B42" t="s">
        <v>73</v>
      </c>
    </row>
    <row r="43" spans="1:8">
      <c r="A43" s="169">
        <v>0</v>
      </c>
      <c r="B43" t="s">
        <v>74</v>
      </c>
    </row>
    <row r="44" spans="1:8">
      <c r="A44" s="169">
        <v>0</v>
      </c>
      <c r="B44" t="s">
        <v>75</v>
      </c>
    </row>
    <row r="45" spans="1:8">
      <c r="A45" s="169">
        <v>0</v>
      </c>
      <c r="B45" t="s">
        <v>76</v>
      </c>
    </row>
    <row r="46" spans="1:8">
      <c r="A46" s="169">
        <v>2</v>
      </c>
      <c r="B46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0"/>
  <sheetViews>
    <sheetView topLeftCell="A10" zoomScale="160" zoomScaleNormal="160" workbookViewId="0">
      <selection activeCell="N25" sqref="N25"/>
    </sheetView>
  </sheetViews>
  <sheetFormatPr defaultColWidth="9.140625" defaultRowHeight="14.45"/>
  <cols>
    <col min="1" max="1" width="11.140625" style="6" bestFit="1" customWidth="1"/>
    <col min="2" max="13" width="4.7109375" style="5" customWidth="1"/>
    <col min="14" max="14" width="35.7109375" style="123" bestFit="1" customWidth="1"/>
    <col min="15" max="16384" width="9.140625" style="5"/>
  </cols>
  <sheetData>
    <row r="1" spans="1:13">
      <c r="A1" s="187" t="s">
        <v>8</v>
      </c>
      <c r="B1" s="190" t="s">
        <v>5</v>
      </c>
      <c r="C1" s="191"/>
      <c r="D1" s="191"/>
      <c r="E1" s="191"/>
      <c r="F1" s="191"/>
      <c r="G1" s="192"/>
      <c r="H1" s="190" t="s">
        <v>6</v>
      </c>
      <c r="I1" s="191"/>
      <c r="J1" s="191"/>
      <c r="K1" s="191"/>
      <c r="L1" s="191"/>
      <c r="M1" s="193"/>
    </row>
    <row r="2" spans="1:13" ht="15" customHeight="1">
      <c r="A2" s="188"/>
      <c r="B2" s="194" t="s">
        <v>11</v>
      </c>
      <c r="C2" s="195"/>
      <c r="D2" s="194" t="s">
        <v>78</v>
      </c>
      <c r="E2" s="195"/>
      <c r="F2" s="194" t="s">
        <v>12</v>
      </c>
      <c r="G2" s="195"/>
      <c r="H2" s="194" t="s">
        <v>11</v>
      </c>
      <c r="I2" s="195"/>
      <c r="J2" s="194" t="s">
        <v>78</v>
      </c>
      <c r="K2" s="195"/>
      <c r="L2" s="194" t="s">
        <v>12</v>
      </c>
      <c r="M2" s="196"/>
    </row>
    <row r="3" spans="1:13" ht="15" thickBot="1">
      <c r="A3" s="189"/>
      <c r="B3" s="11" t="s">
        <v>79</v>
      </c>
      <c r="C3" s="8" t="s">
        <v>80</v>
      </c>
      <c r="D3" s="11" t="s">
        <v>79</v>
      </c>
      <c r="E3" s="8" t="s">
        <v>80</v>
      </c>
      <c r="F3" s="11" t="s">
        <v>79</v>
      </c>
      <c r="G3" s="8" t="s">
        <v>80</v>
      </c>
      <c r="H3" s="11" t="s">
        <v>79</v>
      </c>
      <c r="I3" s="8" t="s">
        <v>80</v>
      </c>
      <c r="J3" s="11" t="s">
        <v>79</v>
      </c>
      <c r="K3" s="8" t="s">
        <v>80</v>
      </c>
      <c r="L3" s="11" t="s">
        <v>79</v>
      </c>
      <c r="M3" s="20" t="s">
        <v>80</v>
      </c>
    </row>
    <row r="4" spans="1:13">
      <c r="A4" s="119"/>
      <c r="B4" s="120"/>
      <c r="C4" s="121"/>
      <c r="D4" s="120"/>
      <c r="E4" s="121"/>
      <c r="F4" s="120"/>
      <c r="G4" s="121"/>
      <c r="H4" s="120"/>
      <c r="I4" s="121"/>
      <c r="J4" s="120"/>
      <c r="K4" s="121"/>
      <c r="L4" s="120"/>
      <c r="M4" s="122"/>
    </row>
    <row r="5" spans="1:13">
      <c r="A5" s="119"/>
      <c r="B5" s="120"/>
      <c r="C5" s="121"/>
      <c r="D5" s="120"/>
      <c r="E5" s="121"/>
      <c r="F5" s="120"/>
      <c r="G5" s="121"/>
      <c r="H5" s="120"/>
      <c r="I5" s="121"/>
      <c r="J5" s="120"/>
      <c r="K5" s="121"/>
      <c r="L5" s="120"/>
      <c r="M5" s="122"/>
    </row>
    <row r="6" spans="1:13">
      <c r="A6" s="119"/>
      <c r="B6" s="120"/>
      <c r="C6" s="121"/>
      <c r="D6" s="120"/>
      <c r="E6" s="121"/>
      <c r="F6" s="120"/>
      <c r="G6" s="121"/>
      <c r="H6" s="120"/>
      <c r="I6" s="121"/>
      <c r="J6" s="120"/>
      <c r="K6" s="121"/>
      <c r="L6" s="120"/>
      <c r="M6" s="122"/>
    </row>
    <row r="7" spans="1:13">
      <c r="A7" s="119"/>
      <c r="B7" s="120"/>
      <c r="C7" s="121"/>
      <c r="D7" s="120"/>
      <c r="E7" s="121"/>
      <c r="F7" s="120"/>
      <c r="G7" s="121"/>
      <c r="H7" s="120"/>
      <c r="I7" s="121"/>
      <c r="J7" s="120"/>
      <c r="K7" s="121"/>
      <c r="L7" s="120"/>
      <c r="M7" s="122"/>
    </row>
    <row r="8" spans="1:13">
      <c r="A8" s="119"/>
      <c r="B8" s="120"/>
      <c r="C8" s="121"/>
      <c r="D8" s="120"/>
      <c r="E8" s="121"/>
      <c r="F8" s="120"/>
      <c r="G8" s="121"/>
      <c r="H8" s="120"/>
      <c r="I8" s="121"/>
      <c r="J8" s="120"/>
      <c r="K8" s="121"/>
      <c r="L8" s="120"/>
      <c r="M8" s="122"/>
    </row>
    <row r="9" spans="1:13">
      <c r="A9" s="119"/>
      <c r="B9" s="120"/>
      <c r="C9" s="121"/>
      <c r="D9" s="120"/>
      <c r="E9" s="121"/>
      <c r="F9" s="120"/>
      <c r="G9" s="121"/>
      <c r="H9" s="120"/>
      <c r="I9" s="121"/>
      <c r="J9" s="120"/>
      <c r="K9" s="121"/>
      <c r="L9" s="120"/>
      <c r="M9" s="122"/>
    </row>
    <row r="10" spans="1:13">
      <c r="A10" s="119"/>
      <c r="B10" s="120"/>
      <c r="C10" s="121"/>
      <c r="D10" s="120"/>
      <c r="E10" s="121"/>
      <c r="F10" s="120"/>
      <c r="G10" s="121"/>
      <c r="H10" s="120"/>
      <c r="I10" s="121"/>
      <c r="J10" s="120"/>
      <c r="K10" s="121"/>
      <c r="L10" s="120"/>
      <c r="M10" s="122"/>
    </row>
    <row r="11" spans="1:13" hidden="1">
      <c r="A11" s="119"/>
      <c r="B11" s="120"/>
      <c r="C11" s="121"/>
      <c r="D11" s="120"/>
      <c r="E11" s="121"/>
      <c r="F11" s="120"/>
      <c r="G11" s="121"/>
      <c r="H11" s="120"/>
      <c r="I11" s="121"/>
      <c r="J11" s="120"/>
      <c r="K11" s="121"/>
      <c r="L11" s="120"/>
      <c r="M11" s="122"/>
    </row>
    <row r="12" spans="1:13" hidden="1">
      <c r="A12" s="119"/>
      <c r="B12" s="120"/>
      <c r="C12" s="121"/>
      <c r="D12" s="120"/>
      <c r="E12" s="121"/>
      <c r="F12" s="120"/>
      <c r="G12" s="121"/>
      <c r="H12" s="120"/>
      <c r="I12" s="121"/>
      <c r="J12" s="120"/>
      <c r="K12" s="121"/>
      <c r="L12" s="120"/>
      <c r="M12" s="122"/>
    </row>
    <row r="13" spans="1:13" hidden="1">
      <c r="A13" s="119"/>
      <c r="B13" s="120"/>
      <c r="C13" s="121"/>
      <c r="D13" s="120"/>
      <c r="E13" s="121"/>
      <c r="F13" s="120"/>
      <c r="G13" s="121"/>
      <c r="H13" s="120"/>
      <c r="I13" s="121"/>
      <c r="J13" s="120"/>
      <c r="K13" s="121"/>
      <c r="L13" s="120"/>
      <c r="M13" s="122"/>
    </row>
    <row r="14" spans="1:13" hidden="1">
      <c r="A14" s="119"/>
      <c r="B14" s="120"/>
      <c r="C14" s="121"/>
      <c r="D14" s="120"/>
      <c r="E14" s="121"/>
      <c r="F14" s="120"/>
      <c r="G14" s="121"/>
      <c r="H14" s="120"/>
      <c r="I14" s="121"/>
      <c r="J14" s="120"/>
      <c r="K14" s="121"/>
      <c r="L14" s="120"/>
      <c r="M14" s="122"/>
    </row>
    <row r="15" spans="1:13" hidden="1">
      <c r="A15" s="119"/>
      <c r="B15" s="120"/>
      <c r="C15" s="121"/>
      <c r="D15" s="120"/>
      <c r="E15" s="121"/>
      <c r="F15" s="120"/>
      <c r="G15" s="121"/>
      <c r="H15" s="120"/>
      <c r="I15" s="121"/>
      <c r="J15" s="120"/>
      <c r="K15" s="121"/>
      <c r="L15" s="120"/>
      <c r="M15" s="122"/>
    </row>
    <row r="16" spans="1:13" hidden="1">
      <c r="A16" s="119"/>
      <c r="B16" s="120"/>
      <c r="C16" s="121"/>
      <c r="D16" s="120"/>
      <c r="E16" s="121"/>
      <c r="F16" s="120"/>
      <c r="G16" s="121"/>
      <c r="H16" s="120"/>
      <c r="I16" s="121"/>
      <c r="J16" s="120"/>
      <c r="K16" s="121"/>
      <c r="L16" s="120"/>
      <c r="M16" s="122"/>
    </row>
    <row r="17" spans="1:13" hidden="1">
      <c r="A17" s="119"/>
      <c r="B17" s="120"/>
      <c r="C17" s="121"/>
      <c r="D17" s="120"/>
      <c r="E17" s="121"/>
      <c r="F17" s="120"/>
      <c r="G17" s="121"/>
      <c r="H17" s="120"/>
      <c r="I17" s="121"/>
      <c r="J17" s="120"/>
      <c r="K17" s="121"/>
      <c r="L17" s="120"/>
      <c r="M17" s="122"/>
    </row>
    <row r="18" spans="1:13" hidden="1">
      <c r="A18" s="119"/>
      <c r="B18" s="120"/>
      <c r="C18" s="121"/>
      <c r="D18" s="120"/>
      <c r="E18" s="121"/>
      <c r="F18" s="120"/>
      <c r="G18" s="121"/>
      <c r="H18" s="120"/>
      <c r="I18" s="121"/>
      <c r="J18" s="120"/>
      <c r="K18" s="121"/>
      <c r="L18" s="120"/>
      <c r="M18" s="122"/>
    </row>
    <row r="19" spans="1:13" hidden="1">
      <c r="A19" s="119"/>
      <c r="B19" s="120"/>
      <c r="C19" s="121"/>
      <c r="D19" s="120"/>
      <c r="E19" s="121"/>
      <c r="F19" s="120"/>
      <c r="G19" s="121"/>
      <c r="H19" s="120"/>
      <c r="I19" s="121"/>
      <c r="J19" s="120"/>
      <c r="K19" s="121"/>
      <c r="L19" s="120"/>
      <c r="M19" s="122"/>
    </row>
    <row r="20" spans="1:13">
      <c r="A20" s="119"/>
      <c r="B20" s="120"/>
      <c r="C20" s="121"/>
      <c r="D20" s="120"/>
      <c r="E20" s="121"/>
      <c r="F20" s="120"/>
      <c r="G20" s="121"/>
      <c r="H20" s="120"/>
      <c r="I20" s="121"/>
      <c r="J20" s="120"/>
      <c r="K20" s="121"/>
      <c r="L20" s="120"/>
      <c r="M20" s="122"/>
    </row>
    <row r="21" spans="1:13">
      <c r="A21" s="119"/>
      <c r="B21" s="120"/>
      <c r="C21" s="121"/>
      <c r="D21" s="120"/>
      <c r="E21" s="121"/>
      <c r="F21" s="120"/>
      <c r="G21" s="121"/>
      <c r="H21" s="120"/>
      <c r="I21" s="121"/>
      <c r="J21" s="120"/>
      <c r="K21" s="121"/>
      <c r="L21" s="120"/>
      <c r="M21" s="122"/>
    </row>
    <row r="22" spans="1:13">
      <c r="A22" s="119"/>
      <c r="B22" s="120"/>
      <c r="C22" s="121"/>
      <c r="D22" s="120"/>
      <c r="E22" s="121"/>
      <c r="F22" s="120"/>
      <c r="G22" s="121"/>
      <c r="H22" s="120"/>
      <c r="I22" s="121"/>
      <c r="J22" s="120"/>
      <c r="K22" s="121"/>
      <c r="L22" s="120"/>
      <c r="M22" s="122"/>
    </row>
    <row r="23" spans="1:13">
      <c r="A23" s="119"/>
      <c r="B23" s="120"/>
      <c r="C23" s="121"/>
      <c r="D23" s="120"/>
      <c r="E23" s="121"/>
      <c r="F23" s="120"/>
      <c r="G23" s="121"/>
      <c r="H23" s="120"/>
      <c r="I23" s="121"/>
      <c r="J23" s="120"/>
      <c r="K23" s="121"/>
      <c r="L23" s="120"/>
      <c r="M23" s="122"/>
    </row>
    <row r="24" spans="1:13">
      <c r="A24" s="119"/>
      <c r="B24" s="120"/>
      <c r="C24" s="121"/>
      <c r="D24" s="120"/>
      <c r="E24" s="121"/>
      <c r="F24" s="120"/>
      <c r="G24" s="121"/>
      <c r="H24" s="120"/>
      <c r="I24" s="121"/>
      <c r="J24" s="120"/>
      <c r="K24" s="121"/>
      <c r="L24" s="120"/>
      <c r="M24" s="122"/>
    </row>
    <row r="25" spans="1:13">
      <c r="A25" s="119"/>
      <c r="B25" s="120"/>
      <c r="C25" s="121"/>
      <c r="D25" s="120"/>
      <c r="E25" s="121"/>
      <c r="F25" s="120"/>
      <c r="G25" s="121"/>
      <c r="H25" s="120"/>
      <c r="I25" s="121"/>
      <c r="J25" s="120"/>
      <c r="K25" s="121"/>
      <c r="L25" s="120"/>
      <c r="M25" s="122"/>
    </row>
    <row r="26" spans="1:13">
      <c r="A26" s="22"/>
      <c r="B26" s="10"/>
      <c r="C26" s="118"/>
      <c r="D26" s="10"/>
      <c r="E26" s="118"/>
      <c r="F26" s="10"/>
      <c r="G26" s="118"/>
      <c r="H26" s="10"/>
      <c r="I26" s="118"/>
      <c r="J26" s="10"/>
      <c r="K26" s="118"/>
      <c r="L26" s="10"/>
      <c r="M26" s="23"/>
    </row>
    <row r="27" spans="1:13" ht="15" thickBot="1">
      <c r="A27" s="124" t="s">
        <v>27</v>
      </c>
      <c r="B27" s="125">
        <f t="shared" ref="B27:M27" si="0">SUM(B4:B26)</f>
        <v>0</v>
      </c>
      <c r="C27" s="126">
        <f t="shared" si="0"/>
        <v>0</v>
      </c>
      <c r="D27" s="125">
        <f t="shared" si="0"/>
        <v>0</v>
      </c>
      <c r="E27" s="126">
        <f t="shared" si="0"/>
        <v>0</v>
      </c>
      <c r="F27" s="125">
        <f t="shared" si="0"/>
        <v>0</v>
      </c>
      <c r="G27" s="126">
        <f t="shared" si="0"/>
        <v>0</v>
      </c>
      <c r="H27" s="125">
        <f t="shared" si="0"/>
        <v>0</v>
      </c>
      <c r="I27" s="126">
        <f t="shared" si="0"/>
        <v>0</v>
      </c>
      <c r="J27" s="125">
        <f t="shared" si="0"/>
        <v>0</v>
      </c>
      <c r="K27" s="126">
        <f t="shared" si="0"/>
        <v>0</v>
      </c>
      <c r="L27" s="125">
        <f t="shared" si="0"/>
        <v>0</v>
      </c>
      <c r="M27" s="139">
        <f t="shared" si="0"/>
        <v>0</v>
      </c>
    </row>
    <row r="28" spans="1:13" ht="15" thickBot="1">
      <c r="A28" s="24" t="s">
        <v>27</v>
      </c>
      <c r="B28" s="183">
        <f>SUM(B3:G26)</f>
        <v>0</v>
      </c>
      <c r="C28" s="183"/>
      <c r="D28" s="183"/>
      <c r="E28" s="183"/>
      <c r="F28" s="183"/>
      <c r="G28" s="184"/>
      <c r="H28" s="185">
        <f>SUM(H3:M26)</f>
        <v>0</v>
      </c>
      <c r="I28" s="183"/>
      <c r="J28" s="183"/>
      <c r="K28" s="183"/>
      <c r="L28" s="183"/>
      <c r="M28" s="186"/>
    </row>
    <row r="29" spans="1:13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4" s="2" customFormat="1">
      <c r="A34" s="1"/>
      <c r="N34" s="123"/>
    </row>
    <row r="35" spans="1:14" s="2" customFormat="1">
      <c r="A35" s="1"/>
      <c r="N35" s="123"/>
    </row>
    <row r="36" spans="1:14" s="2" customFormat="1">
      <c r="A36" s="1"/>
      <c r="N36" s="123"/>
    </row>
    <row r="37" spans="1:14" s="2" customFormat="1">
      <c r="A37" s="1"/>
      <c r="N37" s="123"/>
    </row>
    <row r="38" spans="1:14" s="2" customFormat="1">
      <c r="A38" s="1"/>
      <c r="N38" s="123"/>
    </row>
    <row r="39" spans="1:14" s="2" customFormat="1">
      <c r="A39" s="1"/>
      <c r="N39" s="123"/>
    </row>
    <row r="40" spans="1:14" s="2" customFormat="1">
      <c r="A40" s="1"/>
      <c r="N40" s="123"/>
    </row>
    <row r="41" spans="1:14" s="2" customFormat="1">
      <c r="A41" s="1"/>
      <c r="N41" s="123"/>
    </row>
    <row r="42" spans="1:14" s="2" customFormat="1">
      <c r="A42" s="1"/>
      <c r="N42" s="123"/>
    </row>
    <row r="43" spans="1:14" s="2" customFormat="1">
      <c r="A43" s="1"/>
      <c r="N43" s="123"/>
    </row>
    <row r="44" spans="1:14" s="2" customFormat="1">
      <c r="A44" s="1"/>
      <c r="N44" s="123"/>
    </row>
    <row r="45" spans="1:14" s="2" customFormat="1">
      <c r="A45" s="1"/>
      <c r="N45" s="123"/>
    </row>
    <row r="46" spans="1:14" s="2" customFormat="1">
      <c r="A46" s="1"/>
      <c r="N46" s="123"/>
    </row>
    <row r="47" spans="1:14" s="2" customFormat="1">
      <c r="A47" s="1"/>
      <c r="N47" s="123"/>
    </row>
    <row r="48" spans="1:14" s="2" customFormat="1">
      <c r="A48" s="1"/>
      <c r="N48" s="123"/>
    </row>
    <row r="49" spans="1:14" s="2" customFormat="1">
      <c r="A49" s="1"/>
      <c r="N49" s="123"/>
    </row>
    <row r="50" spans="1:14" s="2" customFormat="1">
      <c r="A50" s="1"/>
      <c r="N50" s="123"/>
    </row>
    <row r="51" spans="1:14" s="2" customFormat="1">
      <c r="A51" s="1"/>
      <c r="N51" s="123"/>
    </row>
    <row r="52" spans="1:14" s="2" customFormat="1">
      <c r="A52" s="1"/>
      <c r="N52" s="123"/>
    </row>
    <row r="53" spans="1:14" s="2" customFormat="1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123"/>
    </row>
    <row r="54" spans="1:14" s="2" customFormat="1">
      <c r="A54" s="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123"/>
    </row>
    <row r="55" spans="1:14" s="2" customFormat="1">
      <c r="A55" s="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123"/>
    </row>
    <row r="56" spans="1:14" s="2" customFormat="1">
      <c r="A56" s="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123"/>
    </row>
    <row r="57" spans="1:14" s="2" customFormat="1">
      <c r="A57" s="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123"/>
    </row>
    <row r="58" spans="1:14" s="2" customFormat="1">
      <c r="A58" s="6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123"/>
    </row>
    <row r="59" spans="1:14" s="2" customFormat="1">
      <c r="A59" s="6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123"/>
    </row>
    <row r="60" spans="1:14" s="2" customFormat="1">
      <c r="A60" s="6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123"/>
    </row>
  </sheetData>
  <mergeCells count="11">
    <mergeCell ref="B28:G28"/>
    <mergeCell ref="H28:M28"/>
    <mergeCell ref="A1:A3"/>
    <mergeCell ref="B1:G1"/>
    <mergeCell ref="H1:M1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"/>
  <sheetViews>
    <sheetView zoomScaleNormal="100" workbookViewId="0">
      <selection activeCell="A17" sqref="A17"/>
    </sheetView>
  </sheetViews>
  <sheetFormatPr defaultColWidth="9.140625" defaultRowHeight="14.45"/>
  <cols>
    <col min="1" max="1" width="12.28515625" style="5" customWidth="1"/>
    <col min="2" max="2" width="25.85546875" style="5" bestFit="1" customWidth="1"/>
    <col min="3" max="5" width="4" style="5" bestFit="1" customWidth="1"/>
    <col min="6" max="6" width="5.5703125" style="5" customWidth="1"/>
    <col min="7" max="7" width="4.140625" style="5" bestFit="1" customWidth="1"/>
    <col min="8" max="8" width="4" style="5" bestFit="1" customWidth="1"/>
    <col min="9" max="9" width="3" style="5" bestFit="1" customWidth="1"/>
    <col min="10" max="10" width="2.28515625" style="5" bestFit="1" customWidth="1"/>
    <col min="11" max="11" width="3" style="5" bestFit="1" customWidth="1"/>
    <col min="12" max="12" width="3.5703125" style="5" customWidth="1"/>
    <col min="13" max="13" width="4.140625" style="5" bestFit="1" customWidth="1"/>
    <col min="14" max="14" width="3" style="5" customWidth="1"/>
    <col min="15" max="16384" width="9.140625" style="5"/>
  </cols>
  <sheetData>
    <row r="1" spans="1:16">
      <c r="A1" s="197" t="s">
        <v>8</v>
      </c>
      <c r="B1" s="211" t="s">
        <v>81</v>
      </c>
      <c r="C1" s="204" t="s">
        <v>2</v>
      </c>
      <c r="D1" s="205"/>
      <c r="E1" s="205"/>
      <c r="F1" s="205"/>
      <c r="G1" s="205"/>
      <c r="H1" s="206"/>
      <c r="I1" s="204" t="s">
        <v>3</v>
      </c>
      <c r="J1" s="205"/>
      <c r="K1" s="205"/>
      <c r="L1" s="205"/>
      <c r="M1" s="205"/>
      <c r="N1" s="207"/>
    </row>
    <row r="2" spans="1:16">
      <c r="A2" s="198"/>
      <c r="B2" s="212"/>
      <c r="C2" s="208" t="s">
        <v>5</v>
      </c>
      <c r="D2" s="200"/>
      <c r="E2" s="200" t="s">
        <v>6</v>
      </c>
      <c r="F2" s="200"/>
      <c r="G2" s="200" t="s">
        <v>7</v>
      </c>
      <c r="H2" s="210"/>
      <c r="I2" s="208" t="s">
        <v>5</v>
      </c>
      <c r="J2" s="200"/>
      <c r="K2" s="200" t="s">
        <v>6</v>
      </c>
      <c r="L2" s="200"/>
      <c r="M2" s="200" t="s">
        <v>7</v>
      </c>
      <c r="N2" s="209"/>
    </row>
    <row r="3" spans="1:16" ht="15" thickBot="1">
      <c r="A3" s="199"/>
      <c r="B3" s="213"/>
      <c r="C3" s="9" t="s">
        <v>82</v>
      </c>
      <c r="D3" s="8" t="s">
        <v>83</v>
      </c>
      <c r="E3" s="8" t="s">
        <v>82</v>
      </c>
      <c r="F3" s="8" t="s">
        <v>83</v>
      </c>
      <c r="G3" s="8" t="s">
        <v>7</v>
      </c>
      <c r="H3" s="8" t="s">
        <v>84</v>
      </c>
      <c r="I3" s="9" t="s">
        <v>82</v>
      </c>
      <c r="J3" s="8" t="s">
        <v>83</v>
      </c>
      <c r="K3" s="8" t="s">
        <v>82</v>
      </c>
      <c r="L3" s="8" t="s">
        <v>83</v>
      </c>
      <c r="M3" s="8" t="s">
        <v>7</v>
      </c>
      <c r="N3" s="20" t="s">
        <v>84</v>
      </c>
    </row>
    <row r="4" spans="1:16" s="2" customFormat="1">
      <c r="A4" s="214" t="s">
        <v>85</v>
      </c>
      <c r="B4" s="142" t="s">
        <v>86</v>
      </c>
      <c r="C4" s="140">
        <v>0</v>
      </c>
      <c r="D4" s="141">
        <v>0</v>
      </c>
      <c r="E4" s="141">
        <v>0</v>
      </c>
      <c r="F4" s="141">
        <v>0</v>
      </c>
      <c r="G4" s="141">
        <v>0</v>
      </c>
      <c r="H4" s="141">
        <v>0</v>
      </c>
      <c r="I4" s="140">
        <v>0</v>
      </c>
      <c r="J4" s="141">
        <v>0</v>
      </c>
      <c r="K4" s="141">
        <v>0</v>
      </c>
      <c r="L4" s="141">
        <v>0</v>
      </c>
      <c r="M4" s="141">
        <v>0</v>
      </c>
      <c r="N4" s="144">
        <v>0</v>
      </c>
    </row>
    <row r="5" spans="1:16" s="2" customFormat="1">
      <c r="A5" s="215"/>
      <c r="B5" s="143" t="s">
        <v>87</v>
      </c>
      <c r="C5" s="76">
        <v>0</v>
      </c>
      <c r="D5" s="77">
        <v>0</v>
      </c>
      <c r="E5" s="77">
        <v>0</v>
      </c>
      <c r="F5" s="77">
        <v>0</v>
      </c>
      <c r="G5" s="77">
        <v>0</v>
      </c>
      <c r="H5" s="77">
        <v>0</v>
      </c>
      <c r="I5" s="76">
        <v>0</v>
      </c>
      <c r="J5" s="77">
        <v>0</v>
      </c>
      <c r="K5" s="77">
        <v>0</v>
      </c>
      <c r="L5" s="77">
        <v>0</v>
      </c>
      <c r="M5" s="77">
        <v>0</v>
      </c>
      <c r="N5" s="85">
        <v>0</v>
      </c>
      <c r="O5" s="51"/>
    </row>
    <row r="6" spans="1:16" s="2" customFormat="1">
      <c r="A6" s="215"/>
      <c r="B6" s="143" t="s">
        <v>88</v>
      </c>
      <c r="C6" s="76">
        <v>0</v>
      </c>
      <c r="D6" s="77">
        <v>0</v>
      </c>
      <c r="E6" s="77">
        <v>0</v>
      </c>
      <c r="F6" s="77">
        <v>0</v>
      </c>
      <c r="G6" s="77">
        <v>0</v>
      </c>
      <c r="H6" s="77">
        <v>0</v>
      </c>
      <c r="I6" s="76">
        <v>0</v>
      </c>
      <c r="J6" s="77">
        <v>0</v>
      </c>
      <c r="K6" s="77">
        <v>0</v>
      </c>
      <c r="L6" s="77">
        <v>0</v>
      </c>
      <c r="M6" s="77">
        <v>0</v>
      </c>
      <c r="N6" s="85">
        <v>0</v>
      </c>
    </row>
    <row r="7" spans="1:16" s="2" customFormat="1">
      <c r="A7" s="215"/>
      <c r="B7" s="143" t="s">
        <v>89</v>
      </c>
      <c r="C7" s="76">
        <v>0</v>
      </c>
      <c r="D7" s="77">
        <v>0</v>
      </c>
      <c r="E7" s="77">
        <v>0</v>
      </c>
      <c r="F7" s="77">
        <v>0</v>
      </c>
      <c r="G7" s="77">
        <v>0</v>
      </c>
      <c r="H7" s="77">
        <v>0</v>
      </c>
      <c r="I7" s="76">
        <v>0</v>
      </c>
      <c r="J7" s="77">
        <v>0</v>
      </c>
      <c r="K7" s="77">
        <v>0</v>
      </c>
      <c r="L7" s="77">
        <v>0</v>
      </c>
      <c r="M7" s="77">
        <v>0</v>
      </c>
      <c r="N7" s="85">
        <v>0</v>
      </c>
    </row>
    <row r="8" spans="1:16" s="2" customFormat="1">
      <c r="A8" s="215"/>
      <c r="B8" s="143" t="s">
        <v>90</v>
      </c>
      <c r="C8" s="76">
        <v>0</v>
      </c>
      <c r="D8" s="77">
        <v>0</v>
      </c>
      <c r="E8" s="77">
        <v>0</v>
      </c>
      <c r="F8" s="77">
        <v>0</v>
      </c>
      <c r="G8" s="77">
        <v>0</v>
      </c>
      <c r="H8" s="77">
        <v>0</v>
      </c>
      <c r="I8" s="76">
        <v>0</v>
      </c>
      <c r="J8" s="77">
        <v>0</v>
      </c>
      <c r="K8" s="77">
        <v>0</v>
      </c>
      <c r="L8" s="77">
        <v>0</v>
      </c>
      <c r="M8" s="77">
        <v>0</v>
      </c>
      <c r="N8" s="85">
        <v>0</v>
      </c>
    </row>
    <row r="9" spans="1:16" s="2" customFormat="1">
      <c r="A9" s="215"/>
      <c r="B9" s="143" t="s">
        <v>91</v>
      </c>
      <c r="C9" s="76">
        <v>0</v>
      </c>
      <c r="D9" s="77">
        <v>0</v>
      </c>
      <c r="E9" s="77">
        <v>0</v>
      </c>
      <c r="F9" s="77">
        <v>0</v>
      </c>
      <c r="G9" s="77">
        <v>0</v>
      </c>
      <c r="H9" s="77">
        <v>0</v>
      </c>
      <c r="I9" s="76">
        <v>0</v>
      </c>
      <c r="J9" s="77">
        <v>0</v>
      </c>
      <c r="K9" s="77">
        <v>0</v>
      </c>
      <c r="L9" s="77">
        <v>0</v>
      </c>
      <c r="M9" s="77">
        <v>0</v>
      </c>
      <c r="N9" s="85">
        <v>0</v>
      </c>
      <c r="O9" s="21"/>
      <c r="P9" s="26"/>
    </row>
    <row r="10" spans="1:16" s="2" customFormat="1">
      <c r="A10" s="215"/>
      <c r="B10" s="143" t="s">
        <v>92</v>
      </c>
      <c r="C10" s="76">
        <v>0</v>
      </c>
      <c r="D10" s="77">
        <v>0</v>
      </c>
      <c r="E10" s="77">
        <v>0</v>
      </c>
      <c r="F10" s="77">
        <v>0</v>
      </c>
      <c r="G10" s="77">
        <v>0</v>
      </c>
      <c r="H10" s="77">
        <v>0</v>
      </c>
      <c r="I10" s="76">
        <v>0</v>
      </c>
      <c r="J10" s="77">
        <v>0</v>
      </c>
      <c r="K10" s="77">
        <v>0</v>
      </c>
      <c r="L10" s="77">
        <v>0</v>
      </c>
      <c r="M10" s="77">
        <v>0</v>
      </c>
      <c r="N10" s="85">
        <v>0</v>
      </c>
      <c r="O10" s="21"/>
      <c r="P10" s="26"/>
    </row>
    <row r="11" spans="1:16" s="2" customFormat="1" ht="15.6">
      <c r="A11" s="215"/>
      <c r="B11" s="143" t="s">
        <v>93</v>
      </c>
      <c r="C11" s="76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6">
        <v>0</v>
      </c>
      <c r="J11" s="77">
        <v>0</v>
      </c>
      <c r="K11" s="77">
        <v>0</v>
      </c>
      <c r="L11" s="77">
        <v>0</v>
      </c>
      <c r="M11" s="77">
        <v>0</v>
      </c>
      <c r="N11" s="85">
        <v>0</v>
      </c>
      <c r="O11" s="21"/>
      <c r="P11" s="26"/>
    </row>
    <row r="12" spans="1:16" s="2" customFormat="1" ht="15.6">
      <c r="A12" s="215"/>
      <c r="B12" s="143" t="s">
        <v>94</v>
      </c>
      <c r="C12" s="76">
        <v>0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6">
        <v>0</v>
      </c>
      <c r="J12" s="77">
        <v>0</v>
      </c>
      <c r="K12" s="77">
        <v>0</v>
      </c>
      <c r="L12" s="77">
        <v>0</v>
      </c>
      <c r="M12" s="77">
        <v>0</v>
      </c>
      <c r="N12" s="85">
        <v>0</v>
      </c>
      <c r="O12" s="21"/>
      <c r="P12" s="26"/>
    </row>
    <row r="13" spans="1:16">
      <c r="A13" s="216" t="s">
        <v>85</v>
      </c>
      <c r="B13" s="78" t="s">
        <v>95</v>
      </c>
      <c r="C13" s="79">
        <v>0</v>
      </c>
      <c r="D13" s="80">
        <v>0</v>
      </c>
      <c r="E13" s="80">
        <v>0</v>
      </c>
      <c r="F13" s="80">
        <v>0</v>
      </c>
      <c r="G13" s="80"/>
      <c r="H13" s="80">
        <v>0</v>
      </c>
      <c r="I13" s="79" t="s">
        <v>96</v>
      </c>
      <c r="J13" s="80" t="s">
        <v>96</v>
      </c>
      <c r="K13" s="80" t="s">
        <v>96</v>
      </c>
      <c r="L13" s="80" t="s">
        <v>96</v>
      </c>
      <c r="M13" s="80" t="s">
        <v>96</v>
      </c>
      <c r="N13" s="86" t="s">
        <v>96</v>
      </c>
      <c r="O13" s="21"/>
    </row>
    <row r="14" spans="1:16">
      <c r="A14" s="216"/>
      <c r="B14" s="78" t="s">
        <v>97</v>
      </c>
      <c r="C14" s="79">
        <v>0</v>
      </c>
      <c r="D14" s="80">
        <v>0</v>
      </c>
      <c r="E14" s="80">
        <v>0</v>
      </c>
      <c r="F14" s="80">
        <v>0</v>
      </c>
      <c r="G14" s="80">
        <v>0</v>
      </c>
      <c r="H14" s="80">
        <v>0</v>
      </c>
      <c r="I14" s="79"/>
      <c r="J14" s="80"/>
      <c r="K14" s="80"/>
      <c r="L14" s="80"/>
      <c r="M14" s="80"/>
      <c r="N14" s="86"/>
      <c r="O14" s="21"/>
    </row>
    <row r="15" spans="1:16">
      <c r="A15" s="216"/>
      <c r="B15" s="78" t="s">
        <v>98</v>
      </c>
      <c r="C15" s="79">
        <v>0</v>
      </c>
      <c r="D15" s="80">
        <v>0</v>
      </c>
      <c r="E15" s="80">
        <v>0</v>
      </c>
      <c r="F15" s="80">
        <v>0</v>
      </c>
      <c r="G15" s="80">
        <v>0</v>
      </c>
      <c r="H15" s="80">
        <v>0</v>
      </c>
      <c r="I15" s="79"/>
      <c r="J15" s="80"/>
      <c r="K15" s="80"/>
      <c r="L15" s="80"/>
      <c r="M15" s="80"/>
      <c r="N15" s="86"/>
      <c r="O15" s="21"/>
    </row>
    <row r="16" spans="1:16" ht="15" thickBot="1">
      <c r="A16" s="216"/>
      <c r="B16" s="78" t="s">
        <v>99</v>
      </c>
      <c r="C16" s="79"/>
      <c r="D16" s="80"/>
      <c r="E16" s="80"/>
      <c r="F16" s="80"/>
      <c r="G16" s="80"/>
      <c r="H16" s="80"/>
      <c r="I16" s="79"/>
      <c r="J16" s="80"/>
      <c r="K16" s="80"/>
      <c r="L16" s="80"/>
      <c r="M16" s="80"/>
      <c r="N16" s="86"/>
      <c r="O16" s="2"/>
    </row>
    <row r="17" spans="1:15">
      <c r="A17" s="145" t="s">
        <v>26</v>
      </c>
      <c r="B17" s="146" t="s">
        <v>100</v>
      </c>
      <c r="C17" s="81">
        <f>SUM(C4:C12)</f>
        <v>0</v>
      </c>
      <c r="D17" s="82"/>
      <c r="E17" s="82">
        <f>SUM(E4:E12)</f>
        <v>0</v>
      </c>
      <c r="F17" s="82"/>
      <c r="G17" s="82">
        <f>SUM(G4:G12)</f>
        <v>0</v>
      </c>
      <c r="H17" s="82">
        <f>SUM(H4:H12)</f>
        <v>0</v>
      </c>
      <c r="I17" s="81">
        <f>SUM(I4:I12)</f>
        <v>0</v>
      </c>
      <c r="J17" s="82"/>
      <c r="K17" s="82">
        <f>SUM(K4:K12)</f>
        <v>0</v>
      </c>
      <c r="L17" s="82"/>
      <c r="M17" s="82">
        <f>SUM(M4:M12)</f>
        <v>0</v>
      </c>
      <c r="N17" s="87">
        <f>SUM(N4:N12)</f>
        <v>0</v>
      </c>
      <c r="O17" s="2"/>
    </row>
    <row r="18" spans="1:15">
      <c r="A18" s="70"/>
      <c r="B18" s="147" t="s">
        <v>101</v>
      </c>
      <c r="C18" s="83">
        <f>SUM(C13:C16)</f>
        <v>0</v>
      </c>
      <c r="D18" s="84">
        <f t="shared" ref="D18:H18" si="0">SUM(D13:D16)</f>
        <v>0</v>
      </c>
      <c r="E18" s="84">
        <f t="shared" si="0"/>
        <v>0</v>
      </c>
      <c r="F18" s="84">
        <f>SUM(F13:F15)</f>
        <v>0</v>
      </c>
      <c r="G18" s="84"/>
      <c r="H18" s="84">
        <f t="shared" si="0"/>
        <v>0</v>
      </c>
      <c r="I18" s="83"/>
      <c r="J18" s="84"/>
      <c r="K18" s="84"/>
      <c r="L18" s="84"/>
      <c r="M18" s="84"/>
      <c r="N18" s="88"/>
      <c r="O18" s="2"/>
    </row>
    <row r="19" spans="1:15">
      <c r="A19" s="70"/>
      <c r="B19" s="148" t="s">
        <v>102</v>
      </c>
      <c r="C19" s="83">
        <f>SUM(C17:C18)</f>
        <v>0</v>
      </c>
      <c r="D19" s="84">
        <f t="shared" ref="D19:N19" si="1">SUM(D17:D18)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3">
        <f t="shared" si="1"/>
        <v>0</v>
      </c>
      <c r="J19" s="84"/>
      <c r="K19" s="84">
        <f t="shared" si="1"/>
        <v>0</v>
      </c>
      <c r="L19" s="84"/>
      <c r="M19" s="84">
        <f t="shared" si="1"/>
        <v>0</v>
      </c>
      <c r="N19" s="88">
        <f t="shared" si="1"/>
        <v>0</v>
      </c>
      <c r="O19" s="2"/>
    </row>
    <row r="20" spans="1:15" ht="15" thickBot="1">
      <c r="A20" s="71"/>
      <c r="B20" s="149">
        <f>SUM(C20:N20)</f>
        <v>0</v>
      </c>
      <c r="C20" s="201">
        <f>SUM(C19:H19)</f>
        <v>0</v>
      </c>
      <c r="D20" s="202"/>
      <c r="E20" s="202"/>
      <c r="F20" s="202"/>
      <c r="G20" s="202"/>
      <c r="H20" s="202"/>
      <c r="I20" s="201">
        <f>SUM(I19:N19)</f>
        <v>0</v>
      </c>
      <c r="J20" s="202"/>
      <c r="K20" s="202"/>
      <c r="L20" s="202"/>
      <c r="M20" s="202"/>
      <c r="N20" s="203"/>
    </row>
    <row r="21" spans="1:15" ht="15.6">
      <c r="A21" s="21" t="s">
        <v>103</v>
      </c>
      <c r="B21" s="118"/>
      <c r="C21" s="118"/>
      <c r="D21" s="118"/>
      <c r="E21" s="118"/>
      <c r="F21" s="118"/>
      <c r="G21" s="118"/>
      <c r="H21" s="118"/>
      <c r="I21" s="2"/>
      <c r="J21" s="2"/>
      <c r="K21" s="2"/>
      <c r="L21" s="2"/>
      <c r="M21" s="2"/>
      <c r="N21" s="2"/>
    </row>
    <row r="22" spans="1:15" ht="15.6">
      <c r="A22" s="21" t="s">
        <v>104</v>
      </c>
      <c r="B22" s="118"/>
      <c r="C22" s="118"/>
      <c r="D22" s="118"/>
      <c r="E22" s="118"/>
      <c r="F22" s="118"/>
      <c r="G22" s="118"/>
      <c r="H22" s="118"/>
      <c r="I22" s="2"/>
      <c r="J22" s="2"/>
      <c r="K22" s="2"/>
      <c r="L22" s="2"/>
      <c r="M22" s="2"/>
      <c r="N22" s="2"/>
    </row>
    <row r="23" spans="1:15">
      <c r="A23" s="21"/>
      <c r="B23" s="118"/>
      <c r="C23" s="118"/>
      <c r="D23" s="118"/>
      <c r="E23" s="118"/>
      <c r="F23" s="118"/>
      <c r="G23" s="118"/>
      <c r="H23" s="118"/>
      <c r="I23" s="2"/>
      <c r="J23" s="2"/>
      <c r="K23" s="2"/>
      <c r="L23" s="2"/>
      <c r="M23" s="2"/>
      <c r="N23" s="2"/>
    </row>
    <row r="24" spans="1:15" s="2" customFormat="1">
      <c r="A24" s="21"/>
    </row>
    <row r="25" spans="1:15" s="2" customFormat="1">
      <c r="A25" s="21"/>
    </row>
    <row r="26" spans="1:15" s="2" customFormat="1">
      <c r="A26" s="21"/>
    </row>
    <row r="27" spans="1:15" s="2" customFormat="1">
      <c r="A27" s="21"/>
    </row>
    <row r="28" spans="1:15" s="2" customFormat="1">
      <c r="A28" s="21"/>
    </row>
    <row r="29" spans="1:15" s="2" customFormat="1">
      <c r="A29" s="21"/>
    </row>
    <row r="30" spans="1:15" s="2" customFormat="1"/>
    <row r="31" spans="1:15" s="2" customFormat="1"/>
    <row r="32" spans="1:15" s="2" customFormat="1"/>
    <row r="33" spans="1:14" s="2" customFormat="1"/>
    <row r="34" spans="1:14" s="2" customFormat="1"/>
    <row r="35" spans="1:14" s="2" customFormat="1"/>
    <row r="36" spans="1:14" s="2" customFormat="1"/>
    <row r="37" spans="1:14" s="2" customFormat="1"/>
    <row r="38" spans="1:14" s="2" customFormat="1"/>
    <row r="39" spans="1:14" s="2" customFormat="1"/>
    <row r="40" spans="1:14" s="2" customFormat="1"/>
    <row r="41" spans="1:14" s="2" customFormat="1"/>
    <row r="42" spans="1:14" s="2" customFormat="1"/>
    <row r="43" spans="1:14" s="2" customFormat="1"/>
    <row r="44" spans="1:14" s="2" customFormat="1"/>
    <row r="45" spans="1:14" s="2" customFormat="1"/>
    <row r="46" spans="1:14" s="2" customFormat="1"/>
    <row r="47" spans="1:14" s="2" customForma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spans="1:14" s="2" customForma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s="2" customForma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</sheetData>
  <mergeCells count="14">
    <mergeCell ref="A1:A3"/>
    <mergeCell ref="K2:L2"/>
    <mergeCell ref="C20:H20"/>
    <mergeCell ref="I20:N20"/>
    <mergeCell ref="C1:H1"/>
    <mergeCell ref="I1:N1"/>
    <mergeCell ref="C2:D2"/>
    <mergeCell ref="M2:N2"/>
    <mergeCell ref="E2:F2"/>
    <mergeCell ref="G2:H2"/>
    <mergeCell ref="I2:J2"/>
    <mergeCell ref="B1:B3"/>
    <mergeCell ref="A4:A12"/>
    <mergeCell ref="A13:A16"/>
  </mergeCells>
  <pageMargins left="0.7" right="0.7" top="0.75" bottom="0.75" header="0.3" footer="0.3"/>
  <pageSetup scale="97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6"/>
  <sheetViews>
    <sheetView zoomScale="115" zoomScaleNormal="115" workbookViewId="0">
      <pane ySplit="660" activePane="bottomLeft"/>
      <selection pane="bottomLeft" activeCell="A41" sqref="A41"/>
      <selection sqref="A1:F18"/>
    </sheetView>
  </sheetViews>
  <sheetFormatPr defaultColWidth="9.140625" defaultRowHeight="13.15"/>
  <cols>
    <col min="1" max="1" width="10.7109375" style="13" bestFit="1" customWidth="1"/>
    <col min="2" max="2" width="8" style="13" bestFit="1" customWidth="1"/>
    <col min="3" max="3" width="10.28515625" style="13" bestFit="1" customWidth="1"/>
    <col min="4" max="4" width="11.140625" style="13" bestFit="1" customWidth="1"/>
    <col min="5" max="5" width="18.28515625" style="13" bestFit="1" customWidth="1"/>
    <col min="6" max="6" width="58" style="13" customWidth="1"/>
    <col min="7" max="10" width="9.140625" style="13"/>
    <col min="11" max="11" width="6.7109375" style="13" customWidth="1"/>
    <col min="12" max="12" width="3.85546875" style="13" customWidth="1"/>
    <col min="13" max="13" width="9.140625" style="13"/>
    <col min="14" max="14" width="5" style="13" customWidth="1"/>
    <col min="15" max="15" width="7" style="13" customWidth="1"/>
    <col min="16" max="16" width="9.140625" style="13" customWidth="1"/>
    <col min="17" max="16384" width="9.140625" style="13"/>
  </cols>
  <sheetData>
    <row r="1" spans="1:6" ht="13.9" thickBot="1">
      <c r="A1" s="12" t="s">
        <v>8</v>
      </c>
      <c r="B1" s="12" t="s">
        <v>105</v>
      </c>
      <c r="C1" s="12" t="s">
        <v>106</v>
      </c>
      <c r="D1" s="12" t="s">
        <v>107</v>
      </c>
      <c r="E1" s="12" t="s">
        <v>108</v>
      </c>
      <c r="F1" s="12" t="s">
        <v>109</v>
      </c>
    </row>
    <row r="2" spans="1:6">
      <c r="A2" s="14"/>
      <c r="B2" s="15"/>
      <c r="C2" s="15"/>
      <c r="D2" s="15"/>
      <c r="E2" s="15"/>
      <c r="F2" s="16"/>
    </row>
    <row r="3" spans="1:6">
      <c r="A3" s="17"/>
      <c r="B3" s="18"/>
      <c r="C3" s="18"/>
      <c r="D3" s="18"/>
      <c r="E3" s="18"/>
      <c r="F3" s="19"/>
    </row>
    <row r="4" spans="1:6">
      <c r="A4" s="17"/>
      <c r="B4" s="18"/>
      <c r="C4" s="18"/>
      <c r="D4" s="18"/>
      <c r="E4" s="18"/>
      <c r="F4" s="19"/>
    </row>
    <row r="5" spans="1:6">
      <c r="A5" s="17"/>
      <c r="B5" s="18"/>
      <c r="C5" s="18"/>
      <c r="D5" s="18"/>
      <c r="E5" s="18"/>
      <c r="F5" s="19"/>
    </row>
    <row r="6" spans="1:6">
      <c r="A6" s="17"/>
      <c r="B6" s="18"/>
      <c r="C6" s="18"/>
      <c r="D6" s="18"/>
      <c r="E6" s="18"/>
      <c r="F6" s="19"/>
    </row>
    <row r="7" spans="1:6">
      <c r="A7" s="17"/>
      <c r="B7" s="18"/>
      <c r="C7" s="18"/>
      <c r="D7" s="18"/>
      <c r="E7" s="18"/>
      <c r="F7" s="19"/>
    </row>
    <row r="8" spans="1:6">
      <c r="A8" s="17"/>
      <c r="B8" s="18"/>
      <c r="C8" s="18"/>
      <c r="D8" s="18"/>
      <c r="E8" s="18"/>
      <c r="F8" s="19"/>
    </row>
    <row r="9" spans="1:6">
      <c r="A9" s="17"/>
      <c r="B9" s="18"/>
      <c r="C9" s="27"/>
      <c r="D9" s="18"/>
      <c r="E9" s="18"/>
      <c r="F9" s="19"/>
    </row>
    <row r="10" spans="1:6">
      <c r="A10" s="17"/>
      <c r="B10" s="18"/>
      <c r="C10" s="27"/>
      <c r="D10" s="18"/>
      <c r="E10" s="18"/>
      <c r="F10" s="19"/>
    </row>
    <row r="11" spans="1:6">
      <c r="A11" s="17"/>
      <c r="B11" s="18"/>
      <c r="C11" s="27"/>
      <c r="D11" s="18"/>
      <c r="E11" s="18"/>
      <c r="F11" s="19"/>
    </row>
    <row r="12" spans="1:6">
      <c r="A12" s="17"/>
      <c r="B12" s="18"/>
      <c r="C12" s="27"/>
      <c r="D12" s="18"/>
      <c r="E12" s="18"/>
      <c r="F12" s="19"/>
    </row>
    <row r="13" spans="1:6">
      <c r="A13" s="17"/>
      <c r="B13" s="18"/>
      <c r="C13" s="18"/>
      <c r="D13" s="18"/>
      <c r="E13" s="18"/>
      <c r="F13" s="19"/>
    </row>
    <row r="14" spans="1:6">
      <c r="A14" s="17"/>
      <c r="B14" s="18"/>
      <c r="C14" s="18"/>
      <c r="D14" s="18"/>
      <c r="E14" s="18"/>
      <c r="F14" s="19"/>
    </row>
    <row r="15" spans="1:6">
      <c r="A15" s="17"/>
      <c r="B15" s="18"/>
      <c r="C15" s="18"/>
      <c r="D15" s="18"/>
      <c r="E15" s="18"/>
      <c r="F15" s="19"/>
    </row>
    <row r="16" spans="1:6">
      <c r="A16" s="17"/>
      <c r="B16" s="94"/>
      <c r="C16" s="18"/>
      <c r="D16" s="18"/>
      <c r="E16" s="18"/>
      <c r="F16" s="19"/>
    </row>
    <row r="17" spans="1:6">
      <c r="A17" s="17"/>
      <c r="B17" s="94"/>
      <c r="C17" s="18"/>
      <c r="D17" s="18"/>
      <c r="E17" s="18"/>
      <c r="F17" s="19"/>
    </row>
    <row r="18" spans="1:6">
      <c r="A18" s="17"/>
      <c r="B18" s="94"/>
      <c r="C18" s="18"/>
      <c r="D18" s="18"/>
      <c r="E18" s="18"/>
      <c r="F18" s="19"/>
    </row>
    <row r="19" spans="1:6">
      <c r="A19" s="17"/>
      <c r="B19" s="94"/>
      <c r="C19" s="18"/>
      <c r="D19" s="18"/>
      <c r="E19" s="18"/>
      <c r="F19" s="19"/>
    </row>
    <row r="20" spans="1:6">
      <c r="A20" s="17"/>
      <c r="B20" s="94"/>
      <c r="C20" s="18"/>
      <c r="D20" s="18"/>
      <c r="E20" s="18"/>
      <c r="F20" s="19"/>
    </row>
    <row r="21" spans="1:6">
      <c r="A21" s="17"/>
      <c r="B21" s="94"/>
      <c r="C21" s="18"/>
      <c r="D21" s="18"/>
      <c r="E21" s="18"/>
      <c r="F21" s="19"/>
    </row>
    <row r="22" spans="1:6">
      <c r="A22" s="17"/>
      <c r="B22" s="94"/>
      <c r="C22" s="18"/>
      <c r="D22" s="18"/>
      <c r="E22" s="18"/>
      <c r="F22" s="19"/>
    </row>
    <row r="23" spans="1:6">
      <c r="A23" s="17"/>
      <c r="B23" s="94"/>
      <c r="C23" s="18"/>
      <c r="D23" s="18"/>
      <c r="E23" s="18"/>
      <c r="F23" s="19"/>
    </row>
    <row r="24" spans="1:6">
      <c r="A24" s="17"/>
      <c r="B24" s="94"/>
      <c r="C24" s="18"/>
      <c r="D24" s="18"/>
      <c r="E24" s="18"/>
      <c r="F24" s="19"/>
    </row>
    <row r="25" spans="1:6">
      <c r="A25" s="17"/>
      <c r="B25" s="94"/>
      <c r="C25" s="18"/>
      <c r="D25" s="18"/>
      <c r="E25" s="18"/>
      <c r="F25" s="19"/>
    </row>
    <row r="26" spans="1:6">
      <c r="A26" s="17"/>
      <c r="B26" s="94"/>
      <c r="C26" s="18"/>
      <c r="D26" s="18"/>
      <c r="E26" s="18"/>
      <c r="F26" s="19"/>
    </row>
    <row r="27" spans="1:6">
      <c r="A27" s="17"/>
      <c r="B27" s="94"/>
      <c r="C27" s="18"/>
      <c r="D27" s="18"/>
      <c r="E27" s="18"/>
      <c r="F27" s="19"/>
    </row>
    <row r="28" spans="1:6">
      <c r="A28" s="17"/>
      <c r="B28" s="94"/>
      <c r="C28" s="18"/>
      <c r="D28" s="18"/>
      <c r="E28" s="18"/>
      <c r="F28" s="19"/>
    </row>
    <row r="29" spans="1:6">
      <c r="A29" s="17"/>
      <c r="B29" s="94"/>
      <c r="C29" s="18"/>
      <c r="D29" s="18"/>
      <c r="E29" s="18"/>
      <c r="F29" s="19"/>
    </row>
    <row r="30" spans="1:6">
      <c r="A30" s="17"/>
      <c r="B30" s="94"/>
      <c r="C30" s="18"/>
      <c r="D30" s="18"/>
      <c r="E30" s="18"/>
      <c r="F30" s="19"/>
    </row>
    <row r="31" spans="1:6">
      <c r="A31" s="17"/>
      <c r="B31" s="94"/>
      <c r="C31" s="18"/>
      <c r="D31" s="18"/>
      <c r="E31" s="18"/>
      <c r="F31" s="19"/>
    </row>
    <row r="32" spans="1:6">
      <c r="A32" s="17"/>
      <c r="B32" s="94"/>
      <c r="C32" s="18"/>
      <c r="D32" s="18"/>
      <c r="E32" s="18"/>
      <c r="F32" s="19"/>
    </row>
    <row r="33" spans="1:6">
      <c r="A33" s="17"/>
      <c r="B33" s="94"/>
      <c r="C33" s="18"/>
      <c r="D33" s="18"/>
      <c r="E33" s="18"/>
      <c r="F33" s="19"/>
    </row>
    <row r="34" spans="1:6">
      <c r="A34" s="17"/>
      <c r="B34" s="94"/>
      <c r="C34" s="18"/>
      <c r="D34" s="18"/>
      <c r="E34" s="18"/>
      <c r="F34" s="159"/>
    </row>
    <row r="35" spans="1:6">
      <c r="A35" s="17"/>
      <c r="B35" s="94"/>
      <c r="C35" s="18"/>
      <c r="D35" s="18"/>
      <c r="E35" s="18"/>
      <c r="F35" s="19"/>
    </row>
    <row r="36" spans="1:6">
      <c r="A36" s="17"/>
      <c r="B36" s="94"/>
      <c r="C36" s="18"/>
      <c r="D36" s="18"/>
      <c r="E36" s="18"/>
      <c r="F36" s="19"/>
    </row>
    <row r="37" spans="1:6">
      <c r="A37" s="17"/>
      <c r="B37" s="94"/>
      <c r="C37" s="18"/>
      <c r="D37" s="18"/>
      <c r="E37" s="18"/>
      <c r="F37" s="19"/>
    </row>
    <row r="38" spans="1:6">
      <c r="A38" s="17"/>
      <c r="B38" s="94"/>
      <c r="C38" s="18"/>
      <c r="D38" s="18"/>
      <c r="E38" s="18"/>
      <c r="F38" s="19"/>
    </row>
    <row r="39" spans="1:6">
      <c r="A39" s="17"/>
      <c r="B39" s="94"/>
      <c r="C39" s="18"/>
      <c r="D39" s="18"/>
      <c r="E39" s="18"/>
      <c r="F39" s="19"/>
    </row>
    <row r="40" spans="1:6">
      <c r="A40" s="17"/>
      <c r="B40" s="94"/>
      <c r="C40" s="18"/>
      <c r="D40" s="18"/>
      <c r="E40" s="18"/>
      <c r="F40" s="19"/>
    </row>
    <row r="41" spans="1:6">
      <c r="A41" s="17"/>
      <c r="B41" s="94"/>
      <c r="C41" s="18"/>
      <c r="D41" s="18"/>
      <c r="E41" s="18"/>
      <c r="F41" s="19"/>
    </row>
    <row r="42" spans="1:6">
      <c r="A42" s="17"/>
      <c r="B42" s="94"/>
      <c r="C42" s="18"/>
      <c r="D42" s="18"/>
      <c r="E42" s="18"/>
      <c r="F42" s="19"/>
    </row>
    <row r="43" spans="1:6">
      <c r="A43" s="17"/>
      <c r="B43" s="94"/>
      <c r="C43" s="18"/>
      <c r="D43" s="18"/>
      <c r="E43" s="18"/>
      <c r="F43" s="19"/>
    </row>
    <row r="44" spans="1:6">
      <c r="A44" s="17"/>
      <c r="B44" s="94"/>
      <c r="C44" s="18"/>
      <c r="D44" s="18"/>
      <c r="E44" s="18"/>
      <c r="F44" s="19"/>
    </row>
    <row r="45" spans="1:6">
      <c r="A45" s="17"/>
      <c r="B45" s="94"/>
      <c r="C45" s="18"/>
      <c r="D45" s="18"/>
      <c r="E45" s="18"/>
      <c r="F45" s="19"/>
    </row>
    <row r="46" spans="1:6">
      <c r="A46" s="17"/>
      <c r="B46" s="94"/>
      <c r="C46" s="18"/>
      <c r="D46" s="18"/>
      <c r="E46" s="18"/>
      <c r="F46" s="19"/>
    </row>
    <row r="47" spans="1:6">
      <c r="A47" s="17"/>
      <c r="B47" s="94"/>
      <c r="C47" s="18"/>
      <c r="D47" s="18"/>
      <c r="E47" s="18"/>
      <c r="F47" s="19"/>
    </row>
    <row r="48" spans="1:6">
      <c r="A48" s="17"/>
      <c r="B48" s="94"/>
      <c r="C48" s="18"/>
      <c r="D48" s="18"/>
      <c r="E48" s="18"/>
      <c r="F48" s="19"/>
    </row>
    <row r="49" spans="1:6">
      <c r="A49" s="17"/>
      <c r="B49" s="94"/>
      <c r="C49" s="18"/>
      <c r="D49" s="18"/>
      <c r="E49" s="18"/>
      <c r="F49" s="19"/>
    </row>
    <row r="50" spans="1:6">
      <c r="A50" s="17"/>
      <c r="B50" s="94"/>
      <c r="C50" s="18"/>
      <c r="D50" s="18"/>
      <c r="E50" s="18"/>
      <c r="F50" s="19"/>
    </row>
    <row r="51" spans="1:6">
      <c r="A51" s="17"/>
      <c r="B51" s="94"/>
      <c r="C51" s="18"/>
      <c r="D51" s="18"/>
      <c r="E51" s="18"/>
      <c r="F51" s="19"/>
    </row>
    <row r="52" spans="1:6">
      <c r="A52" s="127"/>
      <c r="B52" s="95"/>
      <c r="C52" s="25"/>
      <c r="D52" s="25"/>
      <c r="E52" s="25"/>
      <c r="F52" s="19"/>
    </row>
    <row r="53" spans="1:6">
      <c r="A53" s="127"/>
      <c r="B53" s="95"/>
      <c r="C53" s="25"/>
      <c r="D53" s="25"/>
      <c r="E53" s="25"/>
      <c r="F53" s="19"/>
    </row>
    <row r="54" spans="1:6" ht="13.9" thickBot="1">
      <c r="A54" s="127"/>
      <c r="B54" s="95"/>
      <c r="C54" s="25"/>
      <c r="D54" s="25"/>
      <c r="E54" s="25"/>
      <c r="F54" s="19"/>
    </row>
    <row r="55" spans="1:6">
      <c r="A55" s="28" t="s">
        <v>102</v>
      </c>
      <c r="B55" s="29">
        <f>SUM(B2:B54)</f>
        <v>0</v>
      </c>
      <c r="C55" s="29">
        <f>SUM(C2:C54)</f>
        <v>0</v>
      </c>
      <c r="D55" s="29">
        <f>SUM(D2:D54)</f>
        <v>0</v>
      </c>
      <c r="E55" s="30">
        <f>SUM(E2:E54)</f>
        <v>0</v>
      </c>
    </row>
    <row r="56" spans="1:6" ht="13.9" thickBot="1">
      <c r="A56" s="31" t="s">
        <v>110</v>
      </c>
      <c r="B56" s="32"/>
      <c r="C56" s="32"/>
      <c r="D56" s="32">
        <f>B55-C55-D55-E55</f>
        <v>0</v>
      </c>
      <c r="E56" s="33"/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0"/>
  <sheetViews>
    <sheetView tabSelected="1" view="pageBreakPreview" topLeftCell="A9" zoomScale="130" zoomScaleNormal="130" zoomScaleSheetLayoutView="130" workbookViewId="0">
      <selection activeCell="A2" sqref="A2:G30"/>
    </sheetView>
  </sheetViews>
  <sheetFormatPr defaultColWidth="9.140625" defaultRowHeight="13.15"/>
  <cols>
    <col min="1" max="1" width="10" style="13" bestFit="1" customWidth="1"/>
    <col min="2" max="2" width="10.7109375" style="13" bestFit="1" customWidth="1"/>
    <col min="3" max="3" width="20.7109375" style="13" bestFit="1" customWidth="1"/>
    <col min="4" max="4" width="19.140625" style="13" bestFit="1" customWidth="1"/>
    <col min="5" max="5" width="11.28515625" style="13" bestFit="1" customWidth="1"/>
    <col min="6" max="6" width="9.85546875" style="13" bestFit="1" customWidth="1"/>
    <col min="7" max="7" width="5.28515625" style="13" bestFit="1" customWidth="1"/>
    <col min="8" max="10" width="9.42578125" style="13" customWidth="1"/>
    <col min="11" max="11" width="8.85546875" style="13" customWidth="1"/>
    <col min="12" max="16384" width="9.140625" style="13"/>
  </cols>
  <sheetData>
    <row r="1" spans="1:18" ht="39.6">
      <c r="A1" s="89" t="s">
        <v>8</v>
      </c>
      <c r="B1" s="52" t="s">
        <v>111</v>
      </c>
      <c r="C1" s="52" t="s">
        <v>112</v>
      </c>
      <c r="D1" s="52" t="s">
        <v>113</v>
      </c>
      <c r="E1" s="52" t="s">
        <v>114</v>
      </c>
      <c r="F1" s="52" t="s">
        <v>115</v>
      </c>
      <c r="G1" s="167" t="s">
        <v>27</v>
      </c>
      <c r="H1" s="52" t="s">
        <v>116</v>
      </c>
      <c r="I1" s="52" t="s">
        <v>117</v>
      </c>
      <c r="J1" s="52" t="s">
        <v>118</v>
      </c>
      <c r="K1" s="52" t="s">
        <v>119</v>
      </c>
      <c r="M1" s="13" t="s">
        <v>120</v>
      </c>
    </row>
    <row r="2" spans="1:18">
      <c r="A2" s="17">
        <v>44151</v>
      </c>
      <c r="B2" s="18">
        <v>0</v>
      </c>
      <c r="C2" s="18">
        <v>0</v>
      </c>
      <c r="D2" s="18">
        <v>0</v>
      </c>
      <c r="E2" s="18">
        <v>0</v>
      </c>
      <c r="F2" s="18">
        <v>0</v>
      </c>
      <c r="G2" s="53">
        <v>0</v>
      </c>
      <c r="H2" s="18">
        <v>0</v>
      </c>
      <c r="I2" s="18">
        <v>0</v>
      </c>
      <c r="J2" s="18">
        <v>0</v>
      </c>
      <c r="K2" s="18">
        <v>0</v>
      </c>
    </row>
    <row r="3" spans="1:18">
      <c r="A3" s="17">
        <v>44158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53">
        <v>0</v>
      </c>
      <c r="H3" s="18">
        <v>0</v>
      </c>
      <c r="I3" s="18">
        <v>0</v>
      </c>
      <c r="J3" s="18">
        <v>0</v>
      </c>
      <c r="K3" s="18">
        <v>0</v>
      </c>
    </row>
    <row r="4" spans="1:18">
      <c r="A4" s="17">
        <v>44165</v>
      </c>
      <c r="B4" s="18">
        <v>17</v>
      </c>
      <c r="C4" s="18">
        <v>0</v>
      </c>
      <c r="D4" s="18">
        <v>0</v>
      </c>
      <c r="E4" s="18">
        <v>0</v>
      </c>
      <c r="F4" s="18">
        <v>0</v>
      </c>
      <c r="G4" s="53">
        <v>17</v>
      </c>
      <c r="H4" s="18">
        <v>1</v>
      </c>
      <c r="I4" s="18">
        <v>1</v>
      </c>
      <c r="J4" s="18">
        <v>0</v>
      </c>
      <c r="K4" s="18">
        <v>0</v>
      </c>
    </row>
    <row r="5" spans="1:18">
      <c r="A5" s="17">
        <v>44172</v>
      </c>
      <c r="B5" s="18">
        <v>9</v>
      </c>
      <c r="C5" s="18">
        <v>0</v>
      </c>
      <c r="D5" s="18">
        <v>0</v>
      </c>
      <c r="E5" s="18">
        <v>0</v>
      </c>
      <c r="F5" s="18">
        <v>0</v>
      </c>
      <c r="G5" s="53">
        <v>9</v>
      </c>
      <c r="H5" s="18">
        <v>1</v>
      </c>
      <c r="I5" s="18">
        <v>0</v>
      </c>
      <c r="J5" s="18">
        <v>0</v>
      </c>
      <c r="K5" s="18">
        <v>0</v>
      </c>
    </row>
    <row r="6" spans="1:18">
      <c r="A6" s="17">
        <v>44180</v>
      </c>
      <c r="B6" s="18">
        <v>8</v>
      </c>
      <c r="C6" s="18">
        <v>0</v>
      </c>
      <c r="D6" s="18">
        <v>0</v>
      </c>
      <c r="E6" s="18">
        <v>0</v>
      </c>
      <c r="F6" s="18">
        <v>11</v>
      </c>
      <c r="G6" s="53">
        <v>19</v>
      </c>
      <c r="H6" s="18">
        <v>1</v>
      </c>
      <c r="I6" s="18">
        <v>0</v>
      </c>
      <c r="J6" s="18">
        <v>0</v>
      </c>
      <c r="K6" s="18">
        <v>0</v>
      </c>
    </row>
    <row r="7" spans="1:18">
      <c r="A7" s="17">
        <v>44188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53">
        <v>0</v>
      </c>
      <c r="H7" s="18">
        <v>1</v>
      </c>
      <c r="I7" s="18">
        <v>0</v>
      </c>
      <c r="J7" s="18">
        <v>0</v>
      </c>
      <c r="K7" s="18">
        <v>0</v>
      </c>
    </row>
    <row r="8" spans="1:18">
      <c r="A8" s="17">
        <v>44193</v>
      </c>
      <c r="B8" s="18">
        <v>0</v>
      </c>
      <c r="C8" s="18">
        <v>18</v>
      </c>
      <c r="D8" s="18">
        <v>0</v>
      </c>
      <c r="E8" s="18">
        <v>0</v>
      </c>
      <c r="F8" s="18">
        <v>0</v>
      </c>
      <c r="G8" s="53">
        <v>18</v>
      </c>
      <c r="H8" s="18">
        <v>1</v>
      </c>
      <c r="I8" s="18">
        <v>0</v>
      </c>
      <c r="J8" s="18">
        <v>0</v>
      </c>
      <c r="K8" s="18">
        <v>0</v>
      </c>
    </row>
    <row r="9" spans="1:18">
      <c r="A9" s="17">
        <v>44200</v>
      </c>
      <c r="B9" s="18">
        <v>31</v>
      </c>
      <c r="C9" s="18">
        <v>2</v>
      </c>
      <c r="D9" s="18">
        <v>0</v>
      </c>
      <c r="E9" s="18">
        <v>0</v>
      </c>
      <c r="F9" s="18">
        <v>0</v>
      </c>
      <c r="G9" s="53">
        <v>33</v>
      </c>
      <c r="H9" s="18">
        <v>1</v>
      </c>
      <c r="I9" s="18">
        <v>0</v>
      </c>
      <c r="J9" s="18">
        <v>0</v>
      </c>
      <c r="K9" s="18">
        <v>0</v>
      </c>
    </row>
    <row r="10" spans="1:18">
      <c r="A10" s="17">
        <v>44207</v>
      </c>
      <c r="B10" s="18">
        <v>65</v>
      </c>
      <c r="C10" s="18">
        <v>0</v>
      </c>
      <c r="D10" s="18">
        <v>0</v>
      </c>
      <c r="E10" s="18">
        <v>0</v>
      </c>
      <c r="F10" s="18">
        <v>0</v>
      </c>
      <c r="G10" s="53">
        <v>65</v>
      </c>
      <c r="H10" s="18">
        <v>1</v>
      </c>
      <c r="I10" s="18">
        <v>0</v>
      </c>
      <c r="J10" s="18">
        <v>0</v>
      </c>
      <c r="K10" s="18">
        <v>0</v>
      </c>
      <c r="R10" s="13">
        <f t="shared" ref="R10:R27" si="0">SUM(G10:K10)</f>
        <v>66</v>
      </c>
    </row>
    <row r="11" spans="1:18">
      <c r="A11" s="17">
        <v>44215</v>
      </c>
      <c r="B11" s="18">
        <v>25</v>
      </c>
      <c r="C11" s="18">
        <v>2</v>
      </c>
      <c r="D11" s="18">
        <v>0</v>
      </c>
      <c r="E11" s="18">
        <v>0</v>
      </c>
      <c r="F11" s="18">
        <v>0</v>
      </c>
      <c r="G11" s="53">
        <v>27</v>
      </c>
      <c r="H11" s="18">
        <v>1</v>
      </c>
      <c r="I11" s="18">
        <v>0</v>
      </c>
      <c r="J11" s="18">
        <v>0</v>
      </c>
      <c r="K11" s="18">
        <v>0</v>
      </c>
      <c r="R11" s="13">
        <f t="shared" si="0"/>
        <v>28</v>
      </c>
    </row>
    <row r="12" spans="1:18">
      <c r="A12" s="17">
        <v>44222</v>
      </c>
      <c r="B12" s="18">
        <v>40</v>
      </c>
      <c r="C12" s="18">
        <v>56</v>
      </c>
      <c r="D12" s="18">
        <v>0</v>
      </c>
      <c r="E12" s="18">
        <v>0</v>
      </c>
      <c r="F12" s="18">
        <v>9</v>
      </c>
      <c r="G12" s="53">
        <v>105</v>
      </c>
      <c r="H12" s="18">
        <v>3</v>
      </c>
      <c r="I12" s="18">
        <v>1</v>
      </c>
      <c r="J12" s="18">
        <v>0</v>
      </c>
      <c r="K12" s="18">
        <v>0</v>
      </c>
      <c r="R12" s="13">
        <f t="shared" si="0"/>
        <v>109</v>
      </c>
    </row>
    <row r="13" spans="1:18">
      <c r="A13" s="17">
        <v>44228</v>
      </c>
      <c r="B13" s="18">
        <v>66</v>
      </c>
      <c r="C13" s="18">
        <v>92</v>
      </c>
      <c r="D13" s="18">
        <v>0</v>
      </c>
      <c r="E13" s="18">
        <v>0</v>
      </c>
      <c r="F13" s="18">
        <v>0</v>
      </c>
      <c r="G13" s="53">
        <v>158</v>
      </c>
      <c r="H13" s="18">
        <v>4</v>
      </c>
      <c r="I13" s="18">
        <v>1</v>
      </c>
      <c r="J13" s="18">
        <v>0</v>
      </c>
      <c r="K13" s="18">
        <v>0</v>
      </c>
      <c r="L13" s="13" t="s">
        <v>121</v>
      </c>
      <c r="R13" s="13">
        <f t="shared" si="0"/>
        <v>163</v>
      </c>
    </row>
    <row r="14" spans="1:18">
      <c r="A14" s="17">
        <v>44236</v>
      </c>
      <c r="B14" s="18">
        <v>62</v>
      </c>
      <c r="C14" s="18">
        <v>29</v>
      </c>
      <c r="D14" s="18">
        <v>0</v>
      </c>
      <c r="E14" s="18">
        <v>0</v>
      </c>
      <c r="F14" s="18">
        <v>7</v>
      </c>
      <c r="G14" s="53">
        <v>98</v>
      </c>
      <c r="H14" s="18">
        <v>4</v>
      </c>
      <c r="I14" s="18">
        <v>0</v>
      </c>
      <c r="J14" s="18">
        <v>0</v>
      </c>
      <c r="K14" s="18">
        <v>0</v>
      </c>
      <c r="L14" s="13" t="s">
        <v>122</v>
      </c>
      <c r="R14" s="13">
        <f t="shared" si="0"/>
        <v>102</v>
      </c>
    </row>
    <row r="15" spans="1:18">
      <c r="A15" s="17">
        <v>44243</v>
      </c>
      <c r="B15" s="18">
        <v>55</v>
      </c>
      <c r="C15" s="18">
        <v>34</v>
      </c>
      <c r="D15" s="18">
        <v>10</v>
      </c>
      <c r="E15" s="18">
        <v>0</v>
      </c>
      <c r="F15" s="18">
        <v>0</v>
      </c>
      <c r="G15" s="53">
        <v>99</v>
      </c>
      <c r="H15" s="18">
        <v>4</v>
      </c>
      <c r="I15" s="18">
        <v>0</v>
      </c>
      <c r="J15" s="18">
        <v>0</v>
      </c>
      <c r="K15" s="18">
        <v>0</v>
      </c>
      <c r="L15" s="13" t="s">
        <v>122</v>
      </c>
      <c r="R15" s="13">
        <f t="shared" si="0"/>
        <v>103</v>
      </c>
    </row>
    <row r="16" spans="1:18">
      <c r="A16" s="17">
        <v>44249</v>
      </c>
      <c r="B16" s="18">
        <v>99</v>
      </c>
      <c r="C16" s="18">
        <v>186</v>
      </c>
      <c r="D16" s="18">
        <v>87</v>
      </c>
      <c r="E16" s="18">
        <v>0</v>
      </c>
      <c r="F16" s="18">
        <v>0</v>
      </c>
      <c r="G16" s="53">
        <v>372</v>
      </c>
      <c r="H16" s="18">
        <v>6</v>
      </c>
      <c r="I16" s="18">
        <v>2</v>
      </c>
      <c r="J16" s="18">
        <v>0</v>
      </c>
      <c r="K16" s="18">
        <v>0</v>
      </c>
      <c r="L16" s="13" t="s">
        <v>123</v>
      </c>
      <c r="R16" s="13">
        <f t="shared" si="0"/>
        <v>380</v>
      </c>
    </row>
    <row r="17" spans="1:18">
      <c r="A17" s="17">
        <v>44252</v>
      </c>
      <c r="B17" s="18">
        <v>32</v>
      </c>
      <c r="C17" s="18">
        <v>182</v>
      </c>
      <c r="D17" s="18">
        <v>75</v>
      </c>
      <c r="E17" s="18">
        <v>7</v>
      </c>
      <c r="F17" s="18">
        <v>0</v>
      </c>
      <c r="G17" s="53">
        <v>296</v>
      </c>
      <c r="H17" s="18">
        <v>11</v>
      </c>
      <c r="I17" s="18">
        <v>5</v>
      </c>
      <c r="J17" s="18">
        <v>0</v>
      </c>
      <c r="K17" s="18">
        <v>0</v>
      </c>
      <c r="L17" s="13" t="s">
        <v>123</v>
      </c>
      <c r="R17" s="13">
        <f t="shared" si="0"/>
        <v>312</v>
      </c>
    </row>
    <row r="18" spans="1:18">
      <c r="A18" s="17">
        <v>44256</v>
      </c>
      <c r="B18" s="94">
        <v>65</v>
      </c>
      <c r="C18" s="18">
        <v>90</v>
      </c>
      <c r="D18" s="18">
        <v>72</v>
      </c>
      <c r="E18" s="18">
        <v>124</v>
      </c>
      <c r="F18" s="18">
        <v>0</v>
      </c>
      <c r="G18" s="53">
        <v>351</v>
      </c>
      <c r="H18" s="18">
        <v>36</v>
      </c>
      <c r="I18" s="18">
        <v>25</v>
      </c>
      <c r="J18" s="18">
        <v>0</v>
      </c>
      <c r="K18" s="18">
        <v>0</v>
      </c>
      <c r="L18" s="13" t="s">
        <v>124</v>
      </c>
      <c r="R18" s="13">
        <f t="shared" si="0"/>
        <v>412</v>
      </c>
    </row>
    <row r="19" spans="1:18">
      <c r="A19" s="17">
        <v>44259</v>
      </c>
      <c r="B19" s="18">
        <v>21</v>
      </c>
      <c r="C19" s="18">
        <v>145</v>
      </c>
      <c r="D19" s="18">
        <v>100</v>
      </c>
      <c r="E19" s="18">
        <v>1</v>
      </c>
      <c r="F19" s="18">
        <v>8</v>
      </c>
      <c r="G19" s="53">
        <v>275</v>
      </c>
      <c r="H19" s="18">
        <v>46</v>
      </c>
      <c r="I19" s="18">
        <v>10</v>
      </c>
      <c r="J19" s="18">
        <v>0</v>
      </c>
      <c r="K19" s="18">
        <v>0</v>
      </c>
      <c r="L19" s="13" t="s">
        <v>125</v>
      </c>
      <c r="R19" s="13">
        <f t="shared" si="0"/>
        <v>331</v>
      </c>
    </row>
    <row r="20" spans="1:18">
      <c r="A20" s="17">
        <v>44263</v>
      </c>
      <c r="B20" s="18">
        <v>57</v>
      </c>
      <c r="C20" s="18">
        <v>134</v>
      </c>
      <c r="D20" s="18">
        <v>3</v>
      </c>
      <c r="E20" s="18">
        <v>0</v>
      </c>
      <c r="F20" s="18">
        <v>5</v>
      </c>
      <c r="G20" s="53">
        <v>199</v>
      </c>
      <c r="H20" s="18">
        <v>78</v>
      </c>
      <c r="I20" s="18">
        <v>32</v>
      </c>
      <c r="J20" s="18">
        <v>0</v>
      </c>
      <c r="K20" s="18">
        <v>0</v>
      </c>
      <c r="L20" s="13" t="s">
        <v>126</v>
      </c>
      <c r="R20" s="13">
        <f t="shared" si="0"/>
        <v>309</v>
      </c>
    </row>
    <row r="21" spans="1:18">
      <c r="A21" s="17">
        <v>44266</v>
      </c>
      <c r="B21" s="18">
        <v>25</v>
      </c>
      <c r="C21" s="18">
        <v>132</v>
      </c>
      <c r="D21" s="18">
        <v>0</v>
      </c>
      <c r="E21" s="18">
        <v>2</v>
      </c>
      <c r="F21" s="18">
        <v>6</v>
      </c>
      <c r="G21" s="53">
        <v>165</v>
      </c>
      <c r="H21" s="18">
        <v>81</v>
      </c>
      <c r="I21" s="18">
        <v>3</v>
      </c>
      <c r="J21" s="18">
        <v>0</v>
      </c>
      <c r="K21" s="18">
        <v>0</v>
      </c>
      <c r="L21" s="13" t="s">
        <v>127</v>
      </c>
      <c r="R21" s="13">
        <f t="shared" si="0"/>
        <v>249</v>
      </c>
    </row>
    <row r="22" spans="1:18">
      <c r="A22" s="17">
        <v>44269</v>
      </c>
      <c r="B22" s="18">
        <v>38</v>
      </c>
      <c r="C22" s="18">
        <v>81</v>
      </c>
      <c r="D22" s="18">
        <v>40</v>
      </c>
      <c r="E22" s="18">
        <v>0</v>
      </c>
      <c r="F22" s="18">
        <v>2</v>
      </c>
      <c r="G22" s="53">
        <v>161</v>
      </c>
      <c r="H22" s="18">
        <v>81</v>
      </c>
      <c r="I22" s="18">
        <v>0</v>
      </c>
      <c r="J22" s="18">
        <v>0</v>
      </c>
      <c r="K22" s="18">
        <v>0</v>
      </c>
      <c r="L22" s="13" t="s">
        <v>128</v>
      </c>
      <c r="R22" s="13">
        <f t="shared" si="0"/>
        <v>242</v>
      </c>
    </row>
    <row r="23" spans="1:18">
      <c r="A23" s="17">
        <v>44273</v>
      </c>
      <c r="B23" s="18">
        <v>28</v>
      </c>
      <c r="C23" s="18">
        <v>94</v>
      </c>
      <c r="D23" s="18">
        <v>0</v>
      </c>
      <c r="E23" s="18">
        <v>0</v>
      </c>
      <c r="F23" s="18">
        <v>0</v>
      </c>
      <c r="G23" s="53">
        <v>122</v>
      </c>
      <c r="H23" s="18">
        <v>82</v>
      </c>
      <c r="I23" s="18">
        <v>1</v>
      </c>
      <c r="J23" s="18">
        <v>0</v>
      </c>
      <c r="K23" s="18">
        <v>0</v>
      </c>
      <c r="L23" s="13" t="s">
        <v>129</v>
      </c>
      <c r="R23" s="13">
        <f t="shared" si="0"/>
        <v>205</v>
      </c>
    </row>
    <row r="24" spans="1:18">
      <c r="A24" s="17">
        <v>44277</v>
      </c>
      <c r="B24" s="18">
        <v>266</v>
      </c>
      <c r="C24" s="18">
        <v>199</v>
      </c>
      <c r="D24" s="18">
        <v>59</v>
      </c>
      <c r="E24" s="18">
        <v>0</v>
      </c>
      <c r="F24" s="18">
        <v>9</v>
      </c>
      <c r="G24" s="53">
        <v>533</v>
      </c>
      <c r="H24" s="18">
        <v>82</v>
      </c>
      <c r="I24" s="18">
        <v>0</v>
      </c>
      <c r="J24" s="18">
        <v>0</v>
      </c>
      <c r="K24" s="18">
        <v>0</v>
      </c>
      <c r="L24" s="13" t="s">
        <v>130</v>
      </c>
      <c r="R24" s="13">
        <f t="shared" si="0"/>
        <v>615</v>
      </c>
    </row>
    <row r="25" spans="1:18">
      <c r="A25" s="17">
        <v>44279</v>
      </c>
      <c r="B25" s="18">
        <v>166</v>
      </c>
      <c r="C25" s="18">
        <v>327</v>
      </c>
      <c r="D25" s="18">
        <v>97</v>
      </c>
      <c r="E25" s="18">
        <v>0</v>
      </c>
      <c r="F25" s="18">
        <v>9</v>
      </c>
      <c r="G25" s="53">
        <v>599</v>
      </c>
      <c r="H25" s="18">
        <v>82</v>
      </c>
      <c r="I25" s="18">
        <v>0</v>
      </c>
      <c r="J25" s="18">
        <v>0</v>
      </c>
      <c r="K25" s="18">
        <v>0</v>
      </c>
      <c r="L25" s="13" t="s">
        <v>131</v>
      </c>
      <c r="R25" s="13">
        <f t="shared" si="0"/>
        <v>681</v>
      </c>
    </row>
    <row r="26" spans="1:18">
      <c r="A26" s="17">
        <v>44284</v>
      </c>
      <c r="B26" s="18">
        <v>76</v>
      </c>
      <c r="C26" s="18">
        <v>125</v>
      </c>
      <c r="D26" s="18">
        <v>121</v>
      </c>
      <c r="E26" s="18">
        <v>0</v>
      </c>
      <c r="F26" s="18">
        <v>5</v>
      </c>
      <c r="G26" s="53">
        <v>327</v>
      </c>
      <c r="H26" s="18">
        <v>143</v>
      </c>
      <c r="I26" s="18">
        <v>61</v>
      </c>
      <c r="J26" s="18">
        <v>0</v>
      </c>
      <c r="K26" s="18">
        <v>0</v>
      </c>
      <c r="L26" s="13" t="s">
        <v>132</v>
      </c>
      <c r="R26" s="13">
        <f t="shared" si="0"/>
        <v>531</v>
      </c>
    </row>
    <row r="27" spans="1:18">
      <c r="A27" s="17">
        <v>44287</v>
      </c>
      <c r="B27" s="18">
        <v>130</v>
      </c>
      <c r="C27" s="18">
        <v>129</v>
      </c>
      <c r="D27" s="18">
        <v>23</v>
      </c>
      <c r="E27" s="18">
        <v>0</v>
      </c>
      <c r="F27" s="18">
        <v>8</v>
      </c>
      <c r="G27" s="53">
        <v>290</v>
      </c>
      <c r="H27" s="18">
        <v>143</v>
      </c>
      <c r="I27" s="18">
        <v>0</v>
      </c>
      <c r="J27" s="18">
        <v>0</v>
      </c>
      <c r="K27" s="18">
        <v>0</v>
      </c>
      <c r="L27" s="13" t="s">
        <v>133</v>
      </c>
      <c r="R27" s="13">
        <f t="shared" si="0"/>
        <v>433</v>
      </c>
    </row>
    <row r="28" spans="1:18">
      <c r="A28" s="17">
        <v>44291</v>
      </c>
      <c r="B28" s="18">
        <v>58</v>
      </c>
      <c r="C28" s="18">
        <v>77</v>
      </c>
      <c r="D28" s="18">
        <v>9</v>
      </c>
      <c r="E28" s="18">
        <v>0</v>
      </c>
      <c r="F28" s="18">
        <v>5</v>
      </c>
      <c r="G28" s="53">
        <v>149</v>
      </c>
      <c r="H28" s="18">
        <v>143</v>
      </c>
      <c r="I28" s="18">
        <v>0</v>
      </c>
      <c r="J28" s="18">
        <v>0</v>
      </c>
      <c r="K28" s="18">
        <v>0</v>
      </c>
      <c r="L28" s="13" t="s">
        <v>134</v>
      </c>
    </row>
    <row r="29" spans="1:18">
      <c r="A29" s="17">
        <v>44298</v>
      </c>
      <c r="B29" s="18">
        <v>55</v>
      </c>
      <c r="C29" s="18">
        <v>106</v>
      </c>
      <c r="D29" s="18">
        <v>0</v>
      </c>
      <c r="E29" s="18">
        <v>0</v>
      </c>
      <c r="F29" s="18">
        <v>14</v>
      </c>
      <c r="G29" s="53">
        <v>175</v>
      </c>
      <c r="H29" s="18">
        <v>143</v>
      </c>
      <c r="I29" s="18">
        <v>0</v>
      </c>
      <c r="J29" s="18">
        <v>0</v>
      </c>
      <c r="K29" s="18">
        <v>0</v>
      </c>
      <c r="L29" s="13" t="s">
        <v>135</v>
      </c>
    </row>
    <row r="30" spans="1:18">
      <c r="A30" s="17">
        <v>44321</v>
      </c>
      <c r="B30" s="18">
        <v>54</v>
      </c>
      <c r="C30" s="18">
        <v>14</v>
      </c>
      <c r="D30" s="18">
        <v>0</v>
      </c>
      <c r="E30" s="18">
        <v>1</v>
      </c>
      <c r="F30" s="18">
        <v>17</v>
      </c>
      <c r="G30" s="53">
        <v>86</v>
      </c>
      <c r="H30" s="18">
        <v>143</v>
      </c>
      <c r="I30" s="18">
        <v>0</v>
      </c>
      <c r="J30" s="18">
        <v>0</v>
      </c>
      <c r="K30" s="18">
        <v>0</v>
      </c>
      <c r="L30" s="13" t="s">
        <v>136</v>
      </c>
    </row>
  </sheetData>
  <pageMargins left="0.7" right="0.7" top="0.75" bottom="0.75" header="0.3" footer="0.3"/>
  <pageSetup scale="9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2"/>
  <sheetViews>
    <sheetView zoomScale="115" zoomScaleNormal="115" workbookViewId="0">
      <selection activeCell="G38" sqref="G38"/>
    </sheetView>
  </sheetViews>
  <sheetFormatPr defaultColWidth="9.140625" defaultRowHeight="13.15"/>
  <cols>
    <col min="1" max="2" width="9.140625" style="13"/>
    <col min="3" max="3" width="18.42578125" style="13" bestFit="1" customWidth="1"/>
    <col min="4" max="4" width="13.5703125" style="13" bestFit="1" customWidth="1"/>
    <col min="5" max="5" width="11.5703125" style="13" bestFit="1" customWidth="1"/>
    <col min="6" max="6" width="10.140625" style="13" bestFit="1" customWidth="1"/>
    <col min="7" max="7" width="31" style="13" bestFit="1" customWidth="1"/>
    <col min="8" max="8" width="26" style="13" bestFit="1" customWidth="1"/>
    <col min="9" max="9" width="63.42578125" style="13" customWidth="1"/>
    <col min="10" max="16384" width="9.140625" style="13"/>
  </cols>
  <sheetData>
    <row r="2" spans="2:9" ht="13.9" thickBot="1">
      <c r="B2" s="34" t="s">
        <v>8</v>
      </c>
      <c r="C2" s="34" t="s">
        <v>137</v>
      </c>
      <c r="D2" s="34" t="s">
        <v>138</v>
      </c>
      <c r="E2" s="34" t="s">
        <v>139</v>
      </c>
      <c r="F2" s="34" t="s">
        <v>140</v>
      </c>
      <c r="G2" s="34" t="s">
        <v>141</v>
      </c>
      <c r="H2" s="34" t="s">
        <v>142</v>
      </c>
      <c r="I2" s="34" t="s">
        <v>35</v>
      </c>
    </row>
    <row r="3" spans="2:9" ht="13.9" thickBot="1">
      <c r="B3" s="35"/>
      <c r="C3" s="36"/>
      <c r="D3" s="36"/>
      <c r="E3" s="36"/>
      <c r="F3" s="36"/>
      <c r="G3" s="36"/>
      <c r="H3" s="36"/>
      <c r="I3" s="36"/>
    </row>
    <row r="4" spans="2:9">
      <c r="B4" s="37"/>
      <c r="C4" s="38"/>
      <c r="D4" s="38"/>
      <c r="E4" s="38"/>
      <c r="F4" s="38"/>
      <c r="G4" s="38"/>
      <c r="H4" s="38"/>
      <c r="I4" s="38"/>
    </row>
    <row r="5" spans="2:9">
      <c r="B5" s="40"/>
      <c r="C5" s="41"/>
      <c r="D5" s="41"/>
      <c r="E5" s="41"/>
      <c r="F5" s="41"/>
      <c r="G5" s="41"/>
      <c r="H5" s="41"/>
      <c r="I5" s="41"/>
    </row>
    <row r="6" spans="2:9" ht="13.9" thickBot="1">
      <c r="B6" s="39"/>
      <c r="C6" s="39"/>
      <c r="D6" s="39"/>
      <c r="E6" s="39"/>
      <c r="F6" s="39"/>
      <c r="G6" s="39"/>
      <c r="H6" s="39"/>
      <c r="I6" s="39"/>
    </row>
    <row r="11" spans="2:9" ht="13.9" thickBot="1">
      <c r="B11" s="34" t="s">
        <v>8</v>
      </c>
      <c r="C11" s="34" t="s">
        <v>137</v>
      </c>
      <c r="D11" s="34" t="s">
        <v>138</v>
      </c>
      <c r="E11" s="34" t="s">
        <v>139</v>
      </c>
      <c r="F11" s="34" t="s">
        <v>140</v>
      </c>
      <c r="G11" s="34"/>
      <c r="H11" s="34" t="s">
        <v>142</v>
      </c>
    </row>
    <row r="12" spans="2:9" ht="13.9" thickBot="1">
      <c r="B12" s="35"/>
      <c r="C12" s="36"/>
      <c r="D12" s="36"/>
      <c r="E12" s="36"/>
      <c r="F12" s="36"/>
      <c r="G12" s="36"/>
      <c r="H12" s="36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39"/>
  <sheetViews>
    <sheetView topLeftCell="A4" zoomScale="115" zoomScaleNormal="115" workbookViewId="0">
      <selection activeCell="B33" sqref="B33"/>
    </sheetView>
  </sheetViews>
  <sheetFormatPr defaultColWidth="9.140625" defaultRowHeight="13.15"/>
  <cols>
    <col min="1" max="1" width="9.140625" style="13"/>
    <col min="2" max="2" width="11.7109375" style="13" customWidth="1"/>
    <col min="3" max="3" width="127.7109375" style="13" customWidth="1"/>
    <col min="4" max="16384" width="9.140625" style="13"/>
  </cols>
  <sheetData>
    <row r="2" spans="2:3">
      <c r="B2" s="42" t="s">
        <v>8</v>
      </c>
      <c r="C2" s="43" t="s">
        <v>35</v>
      </c>
    </row>
    <row r="3" spans="2:3">
      <c r="B3" s="47">
        <v>44201</v>
      </c>
      <c r="C3" s="150" t="s">
        <v>143</v>
      </c>
    </row>
    <row r="4" spans="2:3">
      <c r="B4" s="47">
        <v>44228</v>
      </c>
      <c r="C4" s="44" t="s">
        <v>144</v>
      </c>
    </row>
    <row r="5" spans="2:3">
      <c r="B5" s="47">
        <v>44240</v>
      </c>
      <c r="C5" s="44" t="s">
        <v>145</v>
      </c>
    </row>
    <row r="6" spans="2:3" ht="15" customHeight="1">
      <c r="B6" s="47">
        <v>44241</v>
      </c>
      <c r="C6" s="49" t="s">
        <v>146</v>
      </c>
    </row>
    <row r="7" spans="2:3">
      <c r="B7" s="47">
        <v>44244</v>
      </c>
      <c r="C7" s="45" t="s">
        <v>147</v>
      </c>
    </row>
    <row r="8" spans="2:3">
      <c r="B8" s="47">
        <v>44245</v>
      </c>
      <c r="C8" s="45" t="s">
        <v>148</v>
      </c>
    </row>
    <row r="9" spans="2:3">
      <c r="B9" s="47" t="s">
        <v>149</v>
      </c>
      <c r="C9" s="46" t="s">
        <v>150</v>
      </c>
    </row>
    <row r="10" spans="2:3">
      <c r="B10" s="47">
        <v>44248</v>
      </c>
      <c r="C10" s="46" t="s">
        <v>151</v>
      </c>
    </row>
    <row r="11" spans="2:3">
      <c r="B11" s="50">
        <v>44252</v>
      </c>
      <c r="C11" s="46" t="s">
        <v>152</v>
      </c>
    </row>
    <row r="12" spans="2:3">
      <c r="B12" s="50">
        <v>44254</v>
      </c>
      <c r="C12" s="46" t="s">
        <v>153</v>
      </c>
    </row>
    <row r="13" spans="2:3">
      <c r="B13" s="50">
        <v>44255</v>
      </c>
      <c r="C13" s="46" t="s">
        <v>154</v>
      </c>
    </row>
    <row r="14" spans="2:3">
      <c r="B14" s="50">
        <v>44256</v>
      </c>
      <c r="C14" s="46" t="s">
        <v>155</v>
      </c>
    </row>
    <row r="15" spans="2:3" ht="15" customHeight="1">
      <c r="B15" s="50">
        <v>44257</v>
      </c>
      <c r="C15" s="46" t="s">
        <v>156</v>
      </c>
    </row>
    <row r="16" spans="2:3" ht="14.25" customHeight="1">
      <c r="B16" s="50">
        <v>44260</v>
      </c>
      <c r="C16" s="46" t="s">
        <v>157</v>
      </c>
    </row>
    <row r="17" spans="2:3">
      <c r="B17" s="50">
        <v>44262</v>
      </c>
      <c r="C17" s="46" t="s">
        <v>158</v>
      </c>
    </row>
    <row r="18" spans="2:3" ht="12.75" customHeight="1">
      <c r="B18" s="50">
        <v>44263</v>
      </c>
      <c r="C18" s="46"/>
    </row>
    <row r="19" spans="2:3" ht="12.75" customHeight="1">
      <c r="B19" s="50">
        <v>44264</v>
      </c>
      <c r="C19" s="46"/>
    </row>
    <row r="20" spans="2:3" ht="14.25" customHeight="1">
      <c r="B20" s="50">
        <v>44265</v>
      </c>
      <c r="C20" s="46" t="s">
        <v>159</v>
      </c>
    </row>
    <row r="21" spans="2:3">
      <c r="B21" s="50">
        <v>44266</v>
      </c>
      <c r="C21" s="46" t="s">
        <v>160</v>
      </c>
    </row>
    <row r="22" spans="2:3">
      <c r="B22" s="50">
        <v>44267</v>
      </c>
      <c r="C22" s="46" t="s">
        <v>161</v>
      </c>
    </row>
    <row r="23" spans="2:3">
      <c r="B23" s="50">
        <v>44268</v>
      </c>
      <c r="C23" s="46" t="s">
        <v>162</v>
      </c>
    </row>
    <row r="24" spans="2:3">
      <c r="B24" s="50">
        <v>44269</v>
      </c>
      <c r="C24" s="46" t="s">
        <v>163</v>
      </c>
    </row>
    <row r="25" spans="2:3">
      <c r="B25" s="50">
        <v>44270</v>
      </c>
      <c r="C25" s="46" t="s">
        <v>164</v>
      </c>
    </row>
    <row r="26" spans="2:3">
      <c r="B26" s="166">
        <v>44272</v>
      </c>
      <c r="C26" s="46" t="s">
        <v>165</v>
      </c>
    </row>
    <row r="27" spans="2:3">
      <c r="B27" s="48" t="s">
        <v>166</v>
      </c>
      <c r="C27" s="46" t="s">
        <v>167</v>
      </c>
    </row>
    <row r="28" spans="2:3">
      <c r="B28" s="166">
        <v>44274</v>
      </c>
      <c r="C28" s="46" t="s">
        <v>168</v>
      </c>
    </row>
    <row r="29" spans="2:3">
      <c r="B29" s="166">
        <v>44275</v>
      </c>
      <c r="C29" s="46" t="s">
        <v>169</v>
      </c>
    </row>
    <row r="30" spans="2:3">
      <c r="B30" s="166">
        <v>44276</v>
      </c>
      <c r="C30" s="46" t="s">
        <v>170</v>
      </c>
    </row>
    <row r="31" spans="2:3">
      <c r="B31" s="166">
        <v>44277</v>
      </c>
      <c r="C31" s="46" t="s">
        <v>171</v>
      </c>
    </row>
    <row r="32" spans="2:3">
      <c r="B32" s="166">
        <v>44283</v>
      </c>
      <c r="C32" s="46" t="s">
        <v>172</v>
      </c>
    </row>
    <row r="33" spans="2:3">
      <c r="B33" s="48"/>
      <c r="C33" s="46"/>
    </row>
    <row r="34" spans="2:3">
      <c r="C34" s="46"/>
    </row>
    <row r="35" spans="2:3">
      <c r="C35" s="46"/>
    </row>
    <row r="36" spans="2:3">
      <c r="C36" s="46"/>
    </row>
    <row r="37" spans="2:3">
      <c r="C37" s="46"/>
    </row>
    <row r="38" spans="2:3">
      <c r="C38" s="46"/>
    </row>
    <row r="39" spans="2:3">
      <c r="C39" s="46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"/>
  <sheetViews>
    <sheetView zoomScale="145" zoomScaleNormal="145" workbookViewId="0">
      <pane ySplit="20" topLeftCell="A39" activePane="bottomLeft" state="frozen"/>
      <selection pane="bottomLeft" activeCell="A2" sqref="A2:A4"/>
    </sheetView>
  </sheetViews>
  <sheetFormatPr defaultRowHeight="14.45"/>
  <cols>
    <col min="1" max="1" width="10.140625" bestFit="1" customWidth="1"/>
    <col min="2" max="2" width="10.7109375" bestFit="1" customWidth="1"/>
    <col min="3" max="3" width="7.85546875" customWidth="1"/>
    <col min="4" max="4" width="8.85546875" customWidth="1"/>
    <col min="5" max="5" width="10.85546875" customWidth="1"/>
    <col min="6" max="6" width="12.5703125" customWidth="1"/>
    <col min="7" max="7" width="9" bestFit="1" customWidth="1"/>
    <col min="8" max="8" width="5" bestFit="1" customWidth="1"/>
    <col min="9" max="9" width="8.28515625" customWidth="1"/>
    <col min="10" max="10" width="8.85546875" bestFit="1" customWidth="1"/>
  </cols>
  <sheetData>
    <row r="1" spans="1:5">
      <c r="A1" s="75" t="s">
        <v>173</v>
      </c>
    </row>
    <row r="2" spans="1:5">
      <c r="A2" s="220" t="s">
        <v>8</v>
      </c>
      <c r="B2" s="217" t="s">
        <v>174</v>
      </c>
      <c r="C2" s="218"/>
      <c r="D2" s="218"/>
      <c r="E2" s="219"/>
    </row>
    <row r="3" spans="1:5">
      <c r="A3" s="221"/>
      <c r="B3" s="217" t="s">
        <v>12</v>
      </c>
      <c r="C3" s="219"/>
      <c r="D3" s="217" t="s">
        <v>78</v>
      </c>
      <c r="E3" s="219"/>
    </row>
    <row r="4" spans="1:5">
      <c r="A4" s="222"/>
      <c r="B4" s="72" t="s">
        <v>5</v>
      </c>
      <c r="C4" s="72" t="s">
        <v>6</v>
      </c>
      <c r="D4" s="72" t="s">
        <v>5</v>
      </c>
      <c r="E4" s="72" t="s">
        <v>6</v>
      </c>
    </row>
    <row r="5" spans="1:5">
      <c r="A5" s="73"/>
      <c r="B5" s="72"/>
      <c r="C5" s="72"/>
      <c r="D5" s="72"/>
      <c r="E5" s="72"/>
    </row>
    <row r="6" spans="1:5">
      <c r="A6" s="73"/>
      <c r="B6" s="72"/>
      <c r="C6" s="72"/>
      <c r="D6" s="72"/>
      <c r="E6" s="72"/>
    </row>
    <row r="7" spans="1:5">
      <c r="A7" s="73"/>
      <c r="B7" s="72"/>
      <c r="C7" s="72"/>
      <c r="D7" s="72"/>
      <c r="E7" s="72"/>
    </row>
    <row r="8" spans="1:5">
      <c r="A8" s="156"/>
      <c r="B8" s="74"/>
      <c r="C8" s="74"/>
      <c r="D8" s="157"/>
      <c r="E8" s="157"/>
    </row>
    <row r="9" spans="1:5">
      <c r="A9" s="156"/>
      <c r="B9" s="74"/>
      <c r="C9" s="74"/>
      <c r="D9" s="157"/>
      <c r="E9" s="157"/>
    </row>
    <row r="10" spans="1:5">
      <c r="A10" s="156"/>
      <c r="B10" s="158"/>
      <c r="C10" s="74"/>
      <c r="D10" s="157"/>
      <c r="E10" s="157"/>
    </row>
    <row r="11" spans="1:5">
      <c r="A11" s="156"/>
      <c r="B11" s="158"/>
      <c r="C11" s="74"/>
      <c r="D11" s="157"/>
      <c r="E11" s="157"/>
    </row>
    <row r="12" spans="1:5">
      <c r="A12" s="156"/>
      <c r="B12" s="158"/>
      <c r="C12" s="74"/>
      <c r="D12" s="157"/>
      <c r="E12" s="157"/>
    </row>
    <row r="13" spans="1:5">
      <c r="A13" s="156"/>
      <c r="B13" s="158"/>
      <c r="C13" s="74"/>
      <c r="D13" s="157"/>
      <c r="E13" s="157"/>
    </row>
    <row r="14" spans="1:5">
      <c r="A14" s="156"/>
      <c r="B14" s="158"/>
      <c r="C14" s="74"/>
      <c r="D14" s="157"/>
      <c r="E14" s="158"/>
    </row>
    <row r="15" spans="1:5">
      <c r="A15" s="156"/>
      <c r="B15" s="158"/>
      <c r="C15" s="74"/>
      <c r="D15" s="157"/>
      <c r="E15" s="158"/>
    </row>
    <row r="16" spans="1:5">
      <c r="A16" s="156"/>
      <c r="B16" s="74"/>
      <c r="C16" s="74"/>
      <c r="D16" s="158"/>
      <c r="E16" s="158"/>
    </row>
    <row r="17" spans="1:10">
      <c r="A17" s="74" t="s">
        <v>27</v>
      </c>
      <c r="B17" s="74">
        <f>SUM(B5:B16)</f>
        <v>0</v>
      </c>
      <c r="C17" s="74"/>
      <c r="D17" s="74">
        <f>SUM(D5:D16)</f>
        <v>0</v>
      </c>
      <c r="E17" s="74">
        <f>SUM(E5:E16)</f>
        <v>0</v>
      </c>
      <c r="F17">
        <f>SUM(B17:E17)</f>
        <v>0</v>
      </c>
    </row>
    <row r="18" spans="1:10">
      <c r="A18" s="75" t="s">
        <v>175</v>
      </c>
    </row>
    <row r="19" spans="1:10">
      <c r="A19" s="224" t="s">
        <v>176</v>
      </c>
      <c r="B19" s="224" t="s">
        <v>177</v>
      </c>
      <c r="C19" s="224" t="s">
        <v>178</v>
      </c>
      <c r="D19" s="226" t="s">
        <v>179</v>
      </c>
      <c r="E19" s="226" t="s">
        <v>180</v>
      </c>
      <c r="F19" s="223" t="s">
        <v>181</v>
      </c>
      <c r="G19" s="223"/>
      <c r="H19" s="223"/>
      <c r="I19" s="223"/>
      <c r="J19" s="223"/>
    </row>
    <row r="20" spans="1:10" ht="34.5" customHeight="1">
      <c r="A20" s="225"/>
      <c r="B20" s="225"/>
      <c r="C20" s="225"/>
      <c r="D20" s="228"/>
      <c r="E20" s="227"/>
      <c r="F20" s="91" t="s">
        <v>182</v>
      </c>
      <c r="G20" s="90" t="s">
        <v>183</v>
      </c>
      <c r="H20" s="90" t="s">
        <v>184</v>
      </c>
      <c r="I20" s="90" t="s">
        <v>185</v>
      </c>
      <c r="J20" s="90" t="s">
        <v>8</v>
      </c>
    </row>
  </sheetData>
  <mergeCells count="10">
    <mergeCell ref="B2:E2"/>
    <mergeCell ref="A2:A4"/>
    <mergeCell ref="B3:C3"/>
    <mergeCell ref="D3:E3"/>
    <mergeCell ref="F19:J19"/>
    <mergeCell ref="A19:A20"/>
    <mergeCell ref="B19:B20"/>
    <mergeCell ref="E19:E20"/>
    <mergeCell ref="C19:C20"/>
    <mergeCell ref="D19:D2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7"/>
  <sheetViews>
    <sheetView workbookViewId="0">
      <selection activeCell="A2" sqref="A2"/>
    </sheetView>
  </sheetViews>
  <sheetFormatPr defaultRowHeight="14.45"/>
  <cols>
    <col min="1" max="1" width="9.7109375" bestFit="1" customWidth="1"/>
  </cols>
  <sheetData>
    <row r="1" spans="1:7">
      <c r="A1" t="s">
        <v>8</v>
      </c>
      <c r="B1" t="s">
        <v>186</v>
      </c>
      <c r="C1" t="s">
        <v>187</v>
      </c>
      <c r="D1" t="s">
        <v>188</v>
      </c>
      <c r="E1" t="s">
        <v>189</v>
      </c>
      <c r="F1" t="s">
        <v>84</v>
      </c>
      <c r="G1" t="s">
        <v>190</v>
      </c>
    </row>
    <row r="2" spans="1:7">
      <c r="A2" s="128"/>
      <c r="G2">
        <f>SUM(B2:F2)</f>
        <v>0</v>
      </c>
    </row>
    <row r="3" spans="1:7">
      <c r="A3" s="128"/>
      <c r="G3">
        <f t="shared" ref="G3:G26" si="0">SUM(B3:F3)</f>
        <v>0</v>
      </c>
    </row>
    <row r="4" spans="1:7">
      <c r="A4" s="128"/>
      <c r="G4">
        <f t="shared" si="0"/>
        <v>0</v>
      </c>
    </row>
    <row r="5" spans="1:7">
      <c r="A5" s="128"/>
      <c r="G5">
        <f t="shared" si="0"/>
        <v>0</v>
      </c>
    </row>
    <row r="6" spans="1:7">
      <c r="A6" s="128"/>
      <c r="G6">
        <f t="shared" si="0"/>
        <v>0</v>
      </c>
    </row>
    <row r="7" spans="1:7">
      <c r="A7" s="128"/>
      <c r="G7">
        <f t="shared" si="0"/>
        <v>0</v>
      </c>
    </row>
    <row r="8" spans="1:7">
      <c r="A8" s="128"/>
      <c r="G8">
        <f t="shared" si="0"/>
        <v>0</v>
      </c>
    </row>
    <row r="9" spans="1:7">
      <c r="A9" s="128"/>
      <c r="G9">
        <f t="shared" si="0"/>
        <v>0</v>
      </c>
    </row>
    <row r="10" spans="1:7">
      <c r="A10" s="128"/>
      <c r="G10">
        <f t="shared" si="0"/>
        <v>0</v>
      </c>
    </row>
    <row r="11" spans="1:7">
      <c r="A11" s="128"/>
      <c r="G11">
        <f t="shared" si="0"/>
        <v>0</v>
      </c>
    </row>
    <row r="12" spans="1:7">
      <c r="A12" s="128"/>
      <c r="G12">
        <f t="shared" si="0"/>
        <v>0</v>
      </c>
    </row>
    <row r="13" spans="1:7">
      <c r="A13" s="128"/>
      <c r="G13">
        <f t="shared" si="0"/>
        <v>0</v>
      </c>
    </row>
    <row r="14" spans="1:7">
      <c r="A14" s="128"/>
      <c r="G14">
        <f t="shared" si="0"/>
        <v>0</v>
      </c>
    </row>
    <row r="15" spans="1:7">
      <c r="A15" s="128"/>
      <c r="G15">
        <f t="shared" si="0"/>
        <v>0</v>
      </c>
    </row>
    <row r="16" spans="1:7">
      <c r="A16" s="128"/>
      <c r="G16">
        <f t="shared" si="0"/>
        <v>0</v>
      </c>
    </row>
    <row r="17" spans="1:7">
      <c r="A17" s="128"/>
      <c r="G17">
        <f t="shared" si="0"/>
        <v>0</v>
      </c>
    </row>
    <row r="18" spans="1:7">
      <c r="A18" s="128"/>
      <c r="G18">
        <f t="shared" si="0"/>
        <v>0</v>
      </c>
    </row>
    <row r="19" spans="1:7">
      <c r="A19" s="128"/>
      <c r="G19">
        <f t="shared" si="0"/>
        <v>0</v>
      </c>
    </row>
    <row r="20" spans="1:7">
      <c r="A20" s="128"/>
      <c r="G20">
        <f t="shared" si="0"/>
        <v>0</v>
      </c>
    </row>
    <row r="21" spans="1:7">
      <c r="A21" s="128"/>
      <c r="G21">
        <f t="shared" si="0"/>
        <v>0</v>
      </c>
    </row>
    <row r="22" spans="1:7">
      <c r="G22">
        <f t="shared" si="0"/>
        <v>0</v>
      </c>
    </row>
    <row r="23" spans="1:7">
      <c r="G23">
        <f t="shared" si="0"/>
        <v>0</v>
      </c>
    </row>
    <row r="24" spans="1:7">
      <c r="G24">
        <f t="shared" si="0"/>
        <v>0</v>
      </c>
    </row>
    <row r="25" spans="1:7">
      <c r="G25">
        <f t="shared" si="0"/>
        <v>0</v>
      </c>
    </row>
    <row r="26" spans="1:7">
      <c r="G26">
        <f t="shared" si="0"/>
        <v>0</v>
      </c>
    </row>
    <row r="27" spans="1:7">
      <c r="A27" t="s">
        <v>26</v>
      </c>
      <c r="B27">
        <f t="shared" ref="B27:G27" si="1">SUM(B2:B26)</f>
        <v>0</v>
      </c>
      <c r="C27">
        <f t="shared" si="1"/>
        <v>0</v>
      </c>
      <c r="D27">
        <f t="shared" si="1"/>
        <v>0</v>
      </c>
      <c r="E27">
        <f t="shared" si="1"/>
        <v>0</v>
      </c>
      <c r="F27">
        <f t="shared" si="1"/>
        <v>0</v>
      </c>
      <c r="G27" s="75">
        <f t="shared" si="1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817079FED5BE4299431E3C640ED594" ma:contentTypeVersion="9" ma:contentTypeDescription="Create a new document." ma:contentTypeScope="" ma:versionID="ea23e68aa8f3f455f827321af1939322">
  <xsd:schema xmlns:xsd="http://www.w3.org/2001/XMLSchema" xmlns:xs="http://www.w3.org/2001/XMLSchema" xmlns:p="http://schemas.microsoft.com/office/2006/metadata/properties" xmlns:ns2="b3f550a7-b0fb-4d6c-ba19-fd89c043d7b7" xmlns:ns3="c05024fc-2475-4c64-9c56-31f6b59430b1" targetNamespace="http://schemas.microsoft.com/office/2006/metadata/properties" ma:root="true" ma:fieldsID="6783f02ec1c09fd96fce2e0048a78ada" ns2:_="" ns3:_="">
    <xsd:import namespace="b3f550a7-b0fb-4d6c-ba19-fd89c043d7b7"/>
    <xsd:import namespace="c05024fc-2475-4c64-9c56-31f6b5943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550a7-b0fb-4d6c-ba19-fd89c043d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024fc-2475-4c64-9c56-31f6b5943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762C0-613C-49FC-B3E9-9F1ECDF2A82D}"/>
</file>

<file path=customXml/itemProps2.xml><?xml version="1.0" encoding="utf-8"?>
<ds:datastoreItem xmlns:ds="http://schemas.openxmlformats.org/officeDocument/2006/customXml" ds:itemID="{302F32D1-3D79-4169-8FCF-F964B10CA217}"/>
</file>

<file path=customXml/itemProps3.xml><?xml version="1.0" encoding="utf-8"?>
<ds:datastoreItem xmlns:ds="http://schemas.openxmlformats.org/officeDocument/2006/customXml" ds:itemID="{9469DC4C-8770-4616-AA85-C2A491666C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Park Service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Stewart</dc:creator>
  <cp:keywords/>
  <dc:description/>
  <cp:lastModifiedBy/>
  <cp:revision/>
  <dcterms:created xsi:type="dcterms:W3CDTF">2013-10-23T21:06:13Z</dcterms:created>
  <dcterms:modified xsi:type="dcterms:W3CDTF">2025-12-01T23:57:31Z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0x010100C3817079FED5BE4299431E3C640ED594</vt:lpwstr>
  </property>
</Properties>
</file>