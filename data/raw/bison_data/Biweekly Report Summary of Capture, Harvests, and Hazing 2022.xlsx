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Q:\NEW O DRIVE\Management\IBMP\Data files\Biweekly Report\"/>
    </mc:Choice>
  </mc:AlternateContent>
  <xr:revisionPtr revIDLastSave="0" documentId="8_{770EBCE1-2A75-4E5E-9368-DE4D3820A330}" xr6:coauthVersionLast="47" xr6:coauthVersionMax="47" xr10:uidLastSave="{00000000-0000-0000-0000-000000000000}"/>
  <bookViews>
    <workbookView xWindow="28830" yWindow="120" windowWidth="12675" windowHeight="17550" xr2:uid="{52E7200F-7E82-4732-B127-8297B6DB0FDE}"/>
  </bookViews>
  <sheets>
    <sheet name="Biweekly Report" sheetId="9" r:id="rId1"/>
    <sheet name="Harvest" sheetId="3" r:id="rId2"/>
    <sheet name="Capture and Consignment" sheetId="2" r:id="rId3"/>
    <sheet name="Gardiner Basin Counts" sheetId="1" r:id="rId4"/>
    <sheet name="West Hazing" sheetId="14" r:id="rId5"/>
    <sheet name="Other Gardiner Basin Obs" sheetId="5" r:id="rId6"/>
    <sheet name="Testing" sheetId="4" r:id="rId7"/>
    <sheet name="Trapside" sheetId="10" r:id="rId8"/>
    <sheet name="Shipping Class" sheetId="7" r:id="rId9"/>
  </sheets>
  <externalReferences>
    <externalReference r:id="rId10"/>
  </externalReferences>
  <definedNames>
    <definedName name="_xlnm.Print_Area" localSheetId="1">Harvest!$A:$P</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5" i="9" l="1"/>
  <c r="O25" i="9"/>
  <c r="P25" i="9"/>
  <c r="Q25" i="9"/>
  <c r="N68" i="9" l="1"/>
  <c r="N69" i="9"/>
  <c r="N70" i="9"/>
  <c r="N71" i="9"/>
  <c r="N72" i="9"/>
  <c r="N73" i="9"/>
  <c r="N74" i="9"/>
  <c r="N75" i="9"/>
  <c r="N76" i="9"/>
  <c r="N77" i="9"/>
  <c r="N78" i="9"/>
  <c r="N79" i="9"/>
  <c r="N80" i="9"/>
  <c r="N67" i="9"/>
  <c r="L68" i="9"/>
  <c r="L69" i="9"/>
  <c r="L70" i="9"/>
  <c r="L71" i="9"/>
  <c r="L72" i="9"/>
  <c r="L73" i="9"/>
  <c r="L74" i="9"/>
  <c r="L75" i="9"/>
  <c r="L76" i="9"/>
  <c r="L77" i="9"/>
  <c r="L78" i="9"/>
  <c r="L79" i="9"/>
  <c r="L80" i="9"/>
  <c r="L67" i="9"/>
  <c r="J68" i="9"/>
  <c r="J69" i="9"/>
  <c r="J70" i="9"/>
  <c r="J71" i="9"/>
  <c r="J72" i="9"/>
  <c r="J73" i="9"/>
  <c r="J74" i="9"/>
  <c r="J75" i="9"/>
  <c r="J76" i="9"/>
  <c r="J77" i="9"/>
  <c r="J78" i="9"/>
  <c r="J79" i="9"/>
  <c r="J80" i="9"/>
  <c r="J67" i="9"/>
  <c r="D68" i="9"/>
  <c r="F68" i="9"/>
  <c r="H68" i="9"/>
  <c r="D69" i="9"/>
  <c r="F69" i="9"/>
  <c r="H69" i="9"/>
  <c r="D70" i="9"/>
  <c r="F70" i="9"/>
  <c r="H70" i="9"/>
  <c r="D71" i="9"/>
  <c r="F71" i="9"/>
  <c r="H71" i="9"/>
  <c r="D72" i="9"/>
  <c r="F72" i="9"/>
  <c r="H72" i="9"/>
  <c r="D73" i="9"/>
  <c r="F73" i="9"/>
  <c r="H73" i="9"/>
  <c r="D74" i="9"/>
  <c r="F74" i="9"/>
  <c r="H74" i="9"/>
  <c r="D75" i="9"/>
  <c r="F75" i="9"/>
  <c r="H75" i="9"/>
  <c r="D76" i="9"/>
  <c r="F76" i="9"/>
  <c r="H76" i="9"/>
  <c r="D77" i="9"/>
  <c r="F77" i="9"/>
  <c r="H77" i="9"/>
  <c r="D78" i="9"/>
  <c r="F78" i="9"/>
  <c r="H78" i="9"/>
  <c r="D79" i="9"/>
  <c r="F79" i="9"/>
  <c r="H79" i="9"/>
  <c r="D80" i="9"/>
  <c r="F80" i="9"/>
  <c r="H80" i="9"/>
  <c r="H67" i="9"/>
  <c r="F67" i="9"/>
  <c r="D67" i="9"/>
  <c r="C68" i="9"/>
  <c r="C69" i="9"/>
  <c r="C70" i="9"/>
  <c r="C71" i="9"/>
  <c r="C72" i="9"/>
  <c r="C73" i="9"/>
  <c r="C74" i="9"/>
  <c r="C75" i="9"/>
  <c r="C76" i="9"/>
  <c r="C77" i="9"/>
  <c r="C78" i="9"/>
  <c r="C79" i="9"/>
  <c r="C80" i="9"/>
  <c r="C67" i="9"/>
  <c r="B3" i="7"/>
  <c r="C3" i="7"/>
  <c r="D3" i="7"/>
  <c r="E3" i="7"/>
  <c r="F3" i="7"/>
  <c r="G3" i="7"/>
  <c r="B4" i="7"/>
  <c r="C4" i="7"/>
  <c r="D4" i="7"/>
  <c r="E4" i="7"/>
  <c r="F4" i="7"/>
  <c r="G4" i="7"/>
  <c r="B5" i="7"/>
  <c r="C5" i="7"/>
  <c r="D5" i="7"/>
  <c r="E5" i="7"/>
  <c r="F5" i="7"/>
  <c r="G5" i="7"/>
  <c r="B6" i="7"/>
  <c r="C6" i="7"/>
  <c r="D6" i="7"/>
  <c r="E6" i="7"/>
  <c r="F6" i="7"/>
  <c r="G6" i="7"/>
  <c r="B7" i="7"/>
  <c r="C7" i="7"/>
  <c r="D7" i="7"/>
  <c r="E7" i="7"/>
  <c r="F7" i="7"/>
  <c r="G7" i="7"/>
  <c r="B8" i="7"/>
  <c r="C8" i="7"/>
  <c r="D8" i="7"/>
  <c r="E8" i="7"/>
  <c r="F8" i="7"/>
  <c r="G8" i="7"/>
  <c r="B9" i="7"/>
  <c r="C9" i="7"/>
  <c r="D9" i="7"/>
  <c r="E9" i="7"/>
  <c r="F9" i="7"/>
  <c r="G9" i="7"/>
  <c r="B10" i="7"/>
  <c r="C10" i="7"/>
  <c r="D10" i="7"/>
  <c r="E10" i="7"/>
  <c r="F10" i="7"/>
  <c r="G10" i="7"/>
  <c r="B11" i="7"/>
  <c r="C11" i="7"/>
  <c r="D11" i="7"/>
  <c r="E11" i="7"/>
  <c r="F11" i="7"/>
  <c r="G11" i="7"/>
  <c r="B12" i="7"/>
  <c r="C12" i="7"/>
  <c r="D12" i="7"/>
  <c r="E12" i="7"/>
  <c r="F12" i="7"/>
  <c r="G12" i="7"/>
  <c r="B13" i="7"/>
  <c r="C13" i="7"/>
  <c r="D13" i="7"/>
  <c r="E13" i="7"/>
  <c r="F13" i="7"/>
  <c r="G13" i="7"/>
  <c r="B14" i="7"/>
  <c r="C14" i="7"/>
  <c r="D14" i="7"/>
  <c r="E14" i="7"/>
  <c r="F14" i="7"/>
  <c r="G14" i="7"/>
  <c r="B15" i="7"/>
  <c r="C15" i="7"/>
  <c r="D15" i="7"/>
  <c r="E15" i="7"/>
  <c r="F15" i="7"/>
  <c r="G15" i="7"/>
  <c r="B16" i="7"/>
  <c r="C16" i="7"/>
  <c r="D16" i="7"/>
  <c r="E16" i="7"/>
  <c r="F16" i="7"/>
  <c r="G16" i="7"/>
  <c r="B17" i="7"/>
  <c r="C17" i="7"/>
  <c r="D17" i="7"/>
  <c r="E17" i="7"/>
  <c r="F17" i="7"/>
  <c r="G17" i="7"/>
  <c r="B18" i="7"/>
  <c r="C18" i="7"/>
  <c r="D18" i="7"/>
  <c r="E18" i="7"/>
  <c r="F18" i="7"/>
  <c r="G18" i="7"/>
  <c r="B19" i="7"/>
  <c r="C19" i="7"/>
  <c r="D19" i="7"/>
  <c r="E19" i="7"/>
  <c r="F19" i="7"/>
  <c r="G19" i="7"/>
  <c r="B20" i="7"/>
  <c r="C20" i="7"/>
  <c r="D20" i="7"/>
  <c r="E20" i="7"/>
  <c r="F20" i="7"/>
  <c r="G20" i="7"/>
  <c r="B21" i="7"/>
  <c r="C21" i="7"/>
  <c r="D21" i="7"/>
  <c r="E21" i="7"/>
  <c r="F21" i="7"/>
  <c r="G21" i="7"/>
  <c r="F2" i="7"/>
  <c r="E2" i="7"/>
  <c r="D2" i="7"/>
  <c r="C2" i="7"/>
  <c r="B2" i="7"/>
  <c r="A2" i="7" a="1"/>
  <c r="A2" i="7" s="1"/>
  <c r="B5" i="4"/>
  <c r="C5" i="4"/>
  <c r="D5" i="4"/>
  <c r="E5" i="4"/>
  <c r="F5" i="4"/>
  <c r="G5" i="4"/>
  <c r="H5" i="4"/>
  <c r="I5" i="4"/>
  <c r="J5" i="4"/>
  <c r="K5" i="4"/>
  <c r="L5" i="4"/>
  <c r="M5" i="4"/>
  <c r="B6" i="4"/>
  <c r="C6" i="4"/>
  <c r="D6" i="4"/>
  <c r="E6" i="4"/>
  <c r="F6" i="4"/>
  <c r="G6" i="4"/>
  <c r="H6" i="4"/>
  <c r="I6" i="4"/>
  <c r="J6" i="4"/>
  <c r="K6" i="4"/>
  <c r="L6" i="4"/>
  <c r="M6" i="4"/>
  <c r="B7" i="4"/>
  <c r="C7" i="4"/>
  <c r="D7" i="4"/>
  <c r="E7" i="4"/>
  <c r="F7" i="4"/>
  <c r="G7" i="4"/>
  <c r="H7" i="4"/>
  <c r="I7" i="4"/>
  <c r="J7" i="4"/>
  <c r="K7" i="4"/>
  <c r="L7" i="4"/>
  <c r="M7" i="4"/>
  <c r="B8" i="4"/>
  <c r="C8" i="4"/>
  <c r="D8" i="4"/>
  <c r="E8" i="4"/>
  <c r="F8" i="4"/>
  <c r="G8" i="4"/>
  <c r="H8" i="4"/>
  <c r="I8" i="4"/>
  <c r="J8" i="4"/>
  <c r="K8" i="4"/>
  <c r="L8" i="4"/>
  <c r="M8" i="4"/>
  <c r="B9" i="4"/>
  <c r="C9" i="4"/>
  <c r="D9" i="4"/>
  <c r="E9" i="4"/>
  <c r="F9" i="4"/>
  <c r="G9" i="4"/>
  <c r="H9" i="4"/>
  <c r="I9" i="4"/>
  <c r="J9" i="4"/>
  <c r="K9" i="4"/>
  <c r="L9" i="4"/>
  <c r="M9" i="4"/>
  <c r="B10" i="4"/>
  <c r="C10" i="4"/>
  <c r="D10" i="4"/>
  <c r="E10" i="4"/>
  <c r="F10" i="4"/>
  <c r="G10" i="4"/>
  <c r="H10" i="4"/>
  <c r="I10" i="4"/>
  <c r="J10" i="4"/>
  <c r="K10" i="4"/>
  <c r="L10" i="4"/>
  <c r="M10" i="4"/>
  <c r="B11" i="4"/>
  <c r="C11" i="4"/>
  <c r="D11" i="4"/>
  <c r="E11" i="4"/>
  <c r="F11" i="4"/>
  <c r="G11" i="4"/>
  <c r="H11" i="4"/>
  <c r="I11" i="4"/>
  <c r="J11" i="4"/>
  <c r="K11" i="4"/>
  <c r="L11" i="4"/>
  <c r="M11" i="4"/>
  <c r="B12" i="4"/>
  <c r="C12" i="4"/>
  <c r="D12" i="4"/>
  <c r="E12" i="4"/>
  <c r="F12" i="4"/>
  <c r="G12" i="4"/>
  <c r="H12" i="4"/>
  <c r="I12" i="4"/>
  <c r="J12" i="4"/>
  <c r="K12" i="4"/>
  <c r="L12" i="4"/>
  <c r="M12" i="4"/>
  <c r="B13" i="4"/>
  <c r="C13" i="4"/>
  <c r="D13" i="4"/>
  <c r="E13" i="4"/>
  <c r="F13" i="4"/>
  <c r="G13" i="4"/>
  <c r="H13" i="4"/>
  <c r="I13" i="4"/>
  <c r="J13" i="4"/>
  <c r="K13" i="4"/>
  <c r="L13" i="4"/>
  <c r="M13" i="4"/>
  <c r="B14" i="4"/>
  <c r="C14" i="4"/>
  <c r="D14" i="4"/>
  <c r="E14" i="4"/>
  <c r="F14" i="4"/>
  <c r="G14" i="4"/>
  <c r="H14" i="4"/>
  <c r="I14" i="4"/>
  <c r="J14" i="4"/>
  <c r="K14" i="4"/>
  <c r="L14" i="4"/>
  <c r="M14" i="4"/>
  <c r="B15" i="4"/>
  <c r="C15" i="4"/>
  <c r="D15" i="4"/>
  <c r="E15" i="4"/>
  <c r="F15" i="4"/>
  <c r="G15" i="4"/>
  <c r="H15" i="4"/>
  <c r="I15" i="4"/>
  <c r="J15" i="4"/>
  <c r="K15" i="4"/>
  <c r="L15" i="4"/>
  <c r="M15" i="4"/>
  <c r="B16" i="4"/>
  <c r="C16" i="4"/>
  <c r="D16" i="4"/>
  <c r="E16" i="4"/>
  <c r="F16" i="4"/>
  <c r="G16" i="4"/>
  <c r="H16" i="4"/>
  <c r="I16" i="4"/>
  <c r="J16" i="4"/>
  <c r="K16" i="4"/>
  <c r="L16" i="4"/>
  <c r="M16" i="4"/>
  <c r="B17" i="4"/>
  <c r="C17" i="4"/>
  <c r="D17" i="4"/>
  <c r="E17" i="4"/>
  <c r="F17" i="4"/>
  <c r="G17" i="4"/>
  <c r="H17" i="4"/>
  <c r="I17" i="4"/>
  <c r="J17" i="4"/>
  <c r="K17" i="4"/>
  <c r="L17" i="4"/>
  <c r="M17" i="4"/>
  <c r="M4" i="4"/>
  <c r="L4" i="4"/>
  <c r="K4" i="4"/>
  <c r="J4" i="4"/>
  <c r="I4" i="4"/>
  <c r="H4" i="4"/>
  <c r="G4" i="4"/>
  <c r="F4" i="4"/>
  <c r="E4" i="4"/>
  <c r="D4" i="4"/>
  <c r="C4" i="4"/>
  <c r="A4" i="4" a="1"/>
  <c r="A4" i="4" s="1"/>
  <c r="B4" i="4" s="1"/>
  <c r="G2" i="7" l="1"/>
  <c r="AA3" i="10" l="1"/>
  <c r="AA4" i="10"/>
  <c r="AA5" i="10"/>
  <c r="AA6" i="10"/>
  <c r="AA7" i="10"/>
  <c r="AA8" i="10"/>
  <c r="AA9" i="10"/>
  <c r="AA10" i="10"/>
  <c r="AA2" i="10"/>
  <c r="X3" i="10"/>
  <c r="X4" i="10"/>
  <c r="X5" i="10"/>
  <c r="X6" i="10"/>
  <c r="X7" i="10"/>
  <c r="X8" i="10"/>
  <c r="X9" i="10"/>
  <c r="X10" i="10"/>
  <c r="X2" i="10"/>
  <c r="W3" i="10" l="1"/>
  <c r="W4" i="10"/>
  <c r="W5" i="10"/>
  <c r="W6" i="10"/>
  <c r="W7" i="10"/>
  <c r="W8" i="10"/>
  <c r="W9" i="10"/>
  <c r="W10" i="10"/>
  <c r="V5" i="10"/>
  <c r="V6" i="10"/>
  <c r="V7" i="10"/>
  <c r="V8" i="10"/>
  <c r="V9" i="10"/>
  <c r="V10" i="10"/>
  <c r="V2" i="10"/>
  <c r="W2" i="10" s="1"/>
  <c r="U3" i="10"/>
  <c r="U4" i="10"/>
  <c r="U5" i="10"/>
  <c r="U6" i="10"/>
  <c r="U7" i="10"/>
  <c r="U8" i="10"/>
  <c r="U9" i="10"/>
  <c r="U10" i="10"/>
  <c r="S3" i="10"/>
  <c r="V3" i="10" s="1"/>
  <c r="S4" i="10"/>
  <c r="V4" i="10" s="1"/>
  <c r="S5" i="10"/>
  <c r="S6" i="10"/>
  <c r="S7" i="10"/>
  <c r="S8" i="10"/>
  <c r="S9" i="10"/>
  <c r="S10" i="10"/>
  <c r="S2" i="10"/>
  <c r="Q3" i="10"/>
  <c r="Q4" i="10"/>
  <c r="Q5" i="10"/>
  <c r="Q6" i="10"/>
  <c r="Q7" i="10"/>
  <c r="Q8" i="10"/>
  <c r="Q9" i="10"/>
  <c r="Q10" i="10"/>
  <c r="Q2" i="10"/>
  <c r="I20" i="9" l="1"/>
  <c r="H20" i="9"/>
  <c r="G20" i="9"/>
  <c r="F20" i="9"/>
  <c r="K19" i="9"/>
  <c r="I19" i="9"/>
  <c r="H19" i="9"/>
  <c r="G19" i="9"/>
  <c r="F19" i="9"/>
  <c r="L11" i="9" l="1"/>
  <c r="N11" i="9"/>
  <c r="P11" i="9"/>
  <c r="Q11" i="9"/>
  <c r="L12" i="9"/>
  <c r="N12" i="9"/>
  <c r="P12" i="9"/>
  <c r="Q12" i="9"/>
  <c r="L13" i="9"/>
  <c r="N13" i="9"/>
  <c r="P13" i="9"/>
  <c r="Q13" i="9"/>
  <c r="L14" i="9"/>
  <c r="N14" i="9"/>
  <c r="P14" i="9"/>
  <c r="Q14" i="9"/>
  <c r="L15" i="9"/>
  <c r="N15" i="9"/>
  <c r="P15" i="9"/>
  <c r="Q15" i="9"/>
  <c r="L16" i="9"/>
  <c r="N16" i="9"/>
  <c r="P16" i="9"/>
  <c r="Q16" i="9"/>
  <c r="L17" i="9"/>
  <c r="N17" i="9"/>
  <c r="P17" i="9"/>
  <c r="Q17" i="9"/>
  <c r="L18" i="9"/>
  <c r="N18" i="9"/>
  <c r="P18" i="9"/>
  <c r="Q18" i="9"/>
  <c r="Q10" i="9"/>
  <c r="P10" i="9"/>
  <c r="N10" i="9"/>
  <c r="L10" i="9"/>
  <c r="J11" i="9"/>
  <c r="K11" i="9"/>
  <c r="J12" i="9"/>
  <c r="K12" i="9"/>
  <c r="J13" i="9"/>
  <c r="K13" i="9"/>
  <c r="J14" i="9"/>
  <c r="K14" i="9"/>
  <c r="J15" i="9"/>
  <c r="K15" i="9"/>
  <c r="J16" i="9"/>
  <c r="K16" i="9"/>
  <c r="J17" i="9"/>
  <c r="K17" i="9"/>
  <c r="J18" i="9"/>
  <c r="K18" i="9"/>
  <c r="K10" i="9"/>
  <c r="J10" i="9"/>
  <c r="H11" i="9"/>
  <c r="H12" i="9"/>
  <c r="H13" i="9"/>
  <c r="H14" i="9"/>
  <c r="H15" i="9"/>
  <c r="H16" i="9"/>
  <c r="H17" i="9"/>
  <c r="H18" i="9"/>
  <c r="F11" i="9"/>
  <c r="F12" i="9"/>
  <c r="F13" i="9"/>
  <c r="F14" i="9"/>
  <c r="F15" i="9"/>
  <c r="F16" i="9"/>
  <c r="F17" i="9"/>
  <c r="F18" i="9"/>
  <c r="H10" i="9"/>
  <c r="I21" i="3"/>
  <c r="H59" i="9"/>
  <c r="G59" i="9"/>
  <c r="F59" i="9"/>
  <c r="E59" i="9"/>
  <c r="C59" i="9"/>
  <c r="H58" i="9"/>
  <c r="G58" i="9"/>
  <c r="F58" i="9"/>
  <c r="E58" i="9"/>
  <c r="C58" i="9"/>
  <c r="H57" i="9"/>
  <c r="G57" i="9"/>
  <c r="F57" i="9"/>
  <c r="E57" i="9"/>
  <c r="C57" i="9"/>
  <c r="H56" i="9"/>
  <c r="G56" i="9"/>
  <c r="F56" i="9"/>
  <c r="E56" i="9"/>
  <c r="C56" i="9"/>
  <c r="H55" i="9"/>
  <c r="G55" i="9"/>
  <c r="F55" i="9"/>
  <c r="E55" i="9"/>
  <c r="C55" i="9"/>
  <c r="H54" i="9"/>
  <c r="G54" i="9"/>
  <c r="F54" i="9"/>
  <c r="E54" i="9"/>
  <c r="C54" i="9"/>
  <c r="H53" i="9"/>
  <c r="G53" i="9"/>
  <c r="F53" i="9"/>
  <c r="E53" i="9"/>
  <c r="C53" i="9"/>
  <c r="H52" i="9"/>
  <c r="G52" i="9"/>
  <c r="F52" i="9"/>
  <c r="E52" i="9"/>
  <c r="C52" i="9"/>
  <c r="H51" i="9"/>
  <c r="G51" i="9"/>
  <c r="F51" i="9"/>
  <c r="E51" i="9"/>
  <c r="C51" i="9"/>
  <c r="H50" i="9"/>
  <c r="G50" i="9"/>
  <c r="F50" i="9"/>
  <c r="E50" i="9"/>
  <c r="C50" i="9"/>
  <c r="H49" i="9"/>
  <c r="G49" i="9"/>
  <c r="F49" i="9"/>
  <c r="E49" i="9"/>
  <c r="C49" i="9"/>
  <c r="P48" i="9"/>
  <c r="P60" i="9" s="1"/>
  <c r="O48" i="9"/>
  <c r="O60" i="9" s="1"/>
  <c r="N48" i="9"/>
  <c r="N60" i="9" s="1"/>
  <c r="M48" i="9"/>
  <c r="M60" i="9" s="1"/>
  <c r="L48" i="9"/>
  <c r="L60" i="9" s="1"/>
  <c r="K48" i="9"/>
  <c r="K60" i="9" s="1"/>
  <c r="J48" i="9"/>
  <c r="J60" i="9" s="1"/>
  <c r="I48" i="9"/>
  <c r="I60" i="9" s="1"/>
  <c r="H48" i="9"/>
  <c r="G48" i="9"/>
  <c r="F48" i="9"/>
  <c r="E48" i="9"/>
  <c r="C48" i="9"/>
  <c r="J24" i="9"/>
  <c r="O23" i="9"/>
  <c r="M23" i="9"/>
  <c r="I23" i="9"/>
  <c r="G23" i="9"/>
  <c r="M35" i="9"/>
  <c r="K24" i="9"/>
  <c r="I24" i="9"/>
  <c r="I25" i="9" s="1"/>
  <c r="H24" i="9"/>
  <c r="G24" i="9"/>
  <c r="G25" i="9" s="1"/>
  <c r="M33" i="9"/>
  <c r="H19" i="4"/>
  <c r="B19" i="4"/>
  <c r="M18" i="4"/>
  <c r="L18" i="4"/>
  <c r="K18" i="4"/>
  <c r="J18" i="4"/>
  <c r="I18" i="4"/>
  <c r="H18" i="4"/>
  <c r="G18" i="4"/>
  <c r="F18" i="4"/>
  <c r="E18" i="4"/>
  <c r="D18" i="4"/>
  <c r="C18" i="4"/>
  <c r="B18" i="4"/>
  <c r="D22" i="3"/>
  <c r="Q23" i="9" l="1"/>
  <c r="N23" i="9"/>
  <c r="N25" i="9" s="1"/>
  <c r="J23" i="9"/>
  <c r="J25" i="9" s="1"/>
  <c r="H23" i="9"/>
  <c r="H25" i="9" s="1"/>
  <c r="K61" i="9"/>
  <c r="E60" i="9"/>
  <c r="F60" i="9"/>
  <c r="G60" i="9"/>
  <c r="H60" i="9"/>
  <c r="P23" i="9"/>
  <c r="K23" i="9"/>
  <c r="L23" i="9"/>
  <c r="L25" i="9" s="1"/>
  <c r="L26" i="9" s="1"/>
  <c r="K25" i="9"/>
  <c r="F24" i="9"/>
  <c r="F25" i="9" l="1"/>
  <c r="F26" i="9" s="1"/>
  <c r="E61" i="9"/>
  <c r="O20" i="3"/>
  <c r="J18" i="3"/>
  <c r="I18" i="3"/>
  <c r="H18" i="3"/>
  <c r="G18" i="3"/>
  <c r="F18" i="3"/>
  <c r="E18" i="3"/>
  <c r="D18" i="3"/>
  <c r="C18" i="3"/>
  <c r="C19" i="3" l="1"/>
  <c r="G19"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<sst xmlns="http://schemas.openxmlformats.org/spreadsheetml/2006/main" count="1118" uniqueCount="242">
  <si>
    <t>Bison Management Operations Winter 2021-2022:</t>
  </si>
  <si>
    <r>
      <t xml:space="preserve">Table 1. Removal Summary. </t>
    </r>
    <r>
      <rPr>
        <sz val="10"/>
        <color theme="1"/>
        <rFont val="Times New Roman"/>
        <family val="1"/>
      </rPr>
      <t>Number of Yellowstone bison removed through state and treaty harvests and culled through consignment to slaughter or quarantine facilities, or dying within containment. Table abbreviations are adult (A), yearling (Y), calf (C), and unknown sex (Unk). Harvest numbers are preliminary, in-season totals that may change.</t>
    </r>
  </si>
  <si>
    <t>Date</t>
  </si>
  <si>
    <t>Removal Method</t>
  </si>
  <si>
    <t>NORTH</t>
  </si>
  <si>
    <t>WEST</t>
  </si>
  <si>
    <t>Male</t>
  </si>
  <si>
    <t>Female</t>
  </si>
  <si>
    <t>Unk</t>
  </si>
  <si>
    <t>A</t>
  </si>
  <si>
    <t>Y</t>
  </si>
  <si>
    <t>C</t>
  </si>
  <si>
    <t>HARVEST</t>
  </si>
  <si>
    <t>Harvest (Mont)</t>
  </si>
  <si>
    <t>Harvest (CSKT)</t>
  </si>
  <si>
    <t>Harvest (NPT)</t>
  </si>
  <si>
    <t>Harvest (CTU)</t>
  </si>
  <si>
    <t>Harvest (SB)</t>
  </si>
  <si>
    <t>Harvest (YN)</t>
  </si>
  <si>
    <t>Harvest (BT)</t>
  </si>
  <si>
    <r>
      <t>NPS</t>
    </r>
    <r>
      <rPr>
        <vertAlign val="superscript"/>
        <sz val="10"/>
        <color rgb="FF000000"/>
        <rFont val="Times New Roman"/>
        <family val="1"/>
      </rPr>
      <t>1</t>
    </r>
  </si>
  <si>
    <r>
      <t>MTFWP</t>
    </r>
    <r>
      <rPr>
        <vertAlign val="superscript"/>
        <sz val="10"/>
        <color rgb="FF000000"/>
        <rFont val="Times New Roman"/>
        <family val="1"/>
      </rPr>
      <t>2</t>
    </r>
  </si>
  <si>
    <t>CULL</t>
  </si>
  <si>
    <r>
      <t>Captured and Consigned</t>
    </r>
    <r>
      <rPr>
        <vertAlign val="superscript"/>
        <sz val="10"/>
        <color rgb="FF000000"/>
        <rFont val="Times New Roman"/>
        <family val="1"/>
      </rPr>
      <t>3</t>
    </r>
  </si>
  <si>
    <t>Removed to Quarantine</t>
  </si>
  <si>
    <t>Capture Pen Mortality</t>
  </si>
  <si>
    <t>MTDOL Management Shooting</t>
  </si>
  <si>
    <t>Year to Date</t>
  </si>
  <si>
    <t>TOTAL</t>
  </si>
  <si>
    <r>
      <t>1</t>
    </r>
    <r>
      <rPr>
        <sz val="10"/>
        <color rgb="FF000000"/>
        <rFont val="Times New Roman"/>
        <family val="1"/>
      </rPr>
      <t xml:space="preserve"> - Wounded animals shot within Yellowstone by YNP personnel </t>
    </r>
  </si>
  <si>
    <r>
      <t>2</t>
    </r>
    <r>
      <rPr>
        <sz val="10"/>
        <color rgb="FF000000"/>
        <rFont val="Times New Roman"/>
        <family val="1"/>
      </rPr>
      <t xml:space="preserve"> - Wounding loss reported by MTFWP</t>
    </r>
  </si>
  <si>
    <r>
      <t xml:space="preserve">3 </t>
    </r>
    <r>
      <rPr>
        <sz val="10"/>
        <color rgb="FF000000"/>
        <rFont val="Times New Roman"/>
        <family val="1"/>
      </rPr>
      <t>- Five bison (4C, 1MY) were captured and initially released with 4 being recaptured since previous report.</t>
    </r>
  </si>
  <si>
    <t>Disposition of Captured Bison:</t>
  </si>
  <si>
    <t>Transferred to Tribes:</t>
  </si>
  <si>
    <t>Transferred for research:</t>
  </si>
  <si>
    <t xml:space="preserve">Being held for potential quarantine enrollment: </t>
  </si>
  <si>
    <t>Mortalities within the Stephens Creek Facility:</t>
  </si>
  <si>
    <t>Released:</t>
  </si>
  <si>
    <t>Animals being held within the Stephens Creek Facility for consignment or release</t>
  </si>
  <si>
    <r>
      <t xml:space="preserve">Table 2. Brucellosis Testing Summary </t>
    </r>
    <r>
      <rPr>
        <sz val="10"/>
        <color theme="1"/>
        <rFont val="Times New Roman"/>
        <family val="1"/>
      </rPr>
      <t>Test results are pending.</t>
    </r>
  </si>
  <si>
    <t>Adult</t>
  </si>
  <si>
    <t>Yearling</t>
  </si>
  <si>
    <t>Calf</t>
  </si>
  <si>
    <t>+</t>
  </si>
  <si>
    <t>-</t>
  </si>
  <si>
    <t>Total</t>
  </si>
  <si>
    <r>
      <t xml:space="preserve">Table 3. Bison in Gardiner Basin </t>
    </r>
    <r>
      <rPr>
        <sz val="10"/>
        <color theme="1"/>
        <rFont val="Times New Roman"/>
        <family val="1"/>
      </rPr>
      <t>Numbers of bison counted in the Gardiner basin by ground observers during winter 2018-19. Bison held within the Stephens Creek Capture Facility are not included in counts.</t>
    </r>
  </si>
  <si>
    <t>Mammoth to Gardiner</t>
  </si>
  <si>
    <t>North Entrance Station to Stephens Creek Facility</t>
  </si>
  <si>
    <t>Stephens Creek Facility to Park Boundary</t>
  </si>
  <si>
    <t>North of Park Boundary</t>
  </si>
  <si>
    <t>Eagle Creek SMA</t>
  </si>
  <si>
    <t>Harvest Summary by Agency/Tribe:</t>
  </si>
  <si>
    <t>Agency/Tribe</t>
  </si>
  <si>
    <t>NORTH Harvest Chronology</t>
  </si>
  <si>
    <t>Hunt Closure</t>
  </si>
  <si>
    <t>Harvests</t>
  </si>
  <si>
    <t>State of Montana</t>
  </si>
  <si>
    <t>CSKT</t>
  </si>
  <si>
    <t>NPT</t>
  </si>
  <si>
    <t>CTU</t>
  </si>
  <si>
    <t>SB</t>
  </si>
  <si>
    <t>YN</t>
  </si>
  <si>
    <t>BN</t>
  </si>
  <si>
    <t>NPS (injured/shot)</t>
  </si>
  <si>
    <t>MTFWP (injured/shot)</t>
  </si>
  <si>
    <t>MTFWP (seized)</t>
  </si>
  <si>
    <t>Wounded/Left for Waste</t>
  </si>
  <si>
    <t>Unreported</t>
  </si>
  <si>
    <t>LAST UPDATED:</t>
  </si>
  <si>
    <r>
      <t xml:space="preserve">Total counted below in </t>
    </r>
    <r>
      <rPr>
        <b/>
        <sz val="10"/>
        <color theme="1"/>
        <rFont val="Times New Roman"/>
        <family val="1"/>
      </rPr>
      <t>Harvest Summary</t>
    </r>
    <r>
      <rPr>
        <sz val="10"/>
        <color theme="1"/>
        <rFont val="Times New Roman"/>
        <family val="1"/>
      </rPr>
      <t>:</t>
    </r>
  </si>
  <si>
    <t>**Note this summary is from conversations with Brian/Kevin and other game wardens**</t>
  </si>
  <si>
    <t>Harvest Summary:</t>
  </si>
  <si>
    <t>Between Landslide and Reece</t>
  </si>
  <si>
    <t>Out of park maximum count</t>
  </si>
  <si>
    <t>Huntable</t>
  </si>
  <si>
    <t>Captured</t>
  </si>
  <si>
    <t>Notes</t>
  </si>
  <si>
    <t>general season</t>
  </si>
  <si>
    <t>adult male harvested during general season unknown location and date</t>
  </si>
  <si>
    <t xml:space="preserve">adult male harvested up Beattie Gulch </t>
  </si>
  <si>
    <t>4 calves released</t>
  </si>
  <si>
    <t>1 bull up Stephens Creek</t>
  </si>
  <si>
    <t>1 adult male near Cooke City</t>
  </si>
  <si>
    <t>2 bulls out of Stephens Creek then back</t>
  </si>
  <si>
    <t>Nez Perce Cooke City, date is a guess</t>
  </si>
  <si>
    <t>trapped the four calves</t>
  </si>
  <si>
    <t>cow and yearling Stermitz</t>
  </si>
  <si>
    <t>then went to Rescue Creek</t>
  </si>
  <si>
    <t>Northern Arapahoe in Eagle Creek</t>
  </si>
  <si>
    <t>reports of maybe northern Arapahoe harvesting up Eagle Creek</t>
  </si>
  <si>
    <t>Capture</t>
  </si>
  <si>
    <t>Consigned</t>
  </si>
  <si>
    <t>Hold/Release</t>
  </si>
  <si>
    <t>Capture Facility Death</t>
  </si>
  <si>
    <t>Destination</t>
  </si>
  <si>
    <t>1 YM released, 6 to quarantine</t>
  </si>
  <si>
    <t>released 4 calves; 27 to Tizers</t>
  </si>
  <si>
    <t>captured the four released calves, for 10 total held</t>
  </si>
  <si>
    <t>Harvests to Date</t>
  </si>
  <si>
    <t>New Harvests</t>
  </si>
  <si>
    <t>Trapped to Date</t>
  </si>
  <si>
    <t>New Trapped</t>
  </si>
  <si>
    <t>Collars</t>
  </si>
  <si>
    <t>none</t>
  </si>
  <si>
    <t>YELL-134</t>
  </si>
  <si>
    <t>YELL-149</t>
  </si>
  <si>
    <t>YELL-145</t>
  </si>
  <si>
    <t>0 (re-caught the four calves)</t>
  </si>
  <si>
    <t>YELL-134, YELL-145</t>
  </si>
  <si>
    <t>No. of Adults (brown)</t>
  </si>
  <si>
    <t>No. of Newborn</t>
  </si>
  <si>
    <t>Start</t>
  </si>
  <si>
    <t>Stop</t>
  </si>
  <si>
    <t>Marked Animals</t>
  </si>
  <si>
    <t>Personnel</t>
  </si>
  <si>
    <t>report from ranger Helms 5 elk harvested in eagle cr/ Travertine area putting total 25-27 confirmed elk harvests for season</t>
  </si>
  <si>
    <t>Animal No.</t>
  </si>
  <si>
    <t>Backtag</t>
  </si>
  <si>
    <t>SilverID</t>
  </si>
  <si>
    <t>RFID</t>
  </si>
  <si>
    <t>Sex</t>
  </si>
  <si>
    <t>Age Class</t>
  </si>
  <si>
    <t>Blood Tube No.</t>
  </si>
  <si>
    <t>Pen</t>
  </si>
  <si>
    <t>Age</t>
  </si>
  <si>
    <t>Tooth</t>
  </si>
  <si>
    <t>Weight</t>
  </si>
  <si>
    <t>BCS</t>
  </si>
  <si>
    <t>LLW</t>
  </si>
  <si>
    <t>Disposition</t>
  </si>
  <si>
    <t>Neg Avg1</t>
  </si>
  <si>
    <t>Raw FP1</t>
  </si>
  <si>
    <t>Neg Avg2</t>
  </si>
  <si>
    <t>Raw FP2</t>
  </si>
  <si>
    <t>FP1</t>
  </si>
  <si>
    <t>FP2</t>
  </si>
  <si>
    <t>FPAVG</t>
  </si>
  <si>
    <t>FPA</t>
  </si>
  <si>
    <t>CARD</t>
  </si>
  <si>
    <t>BAPA</t>
  </si>
  <si>
    <t>SEROLOGY</t>
  </si>
  <si>
    <t>DESTINATION</t>
  </si>
  <si>
    <t>Bison_02/21/2022_001</t>
  </si>
  <si>
    <t>81HL6101</t>
  </si>
  <si>
    <t>81BEV8306</t>
  </si>
  <si>
    <t>NA</t>
  </si>
  <si>
    <t>M</t>
  </si>
  <si>
    <t>Quarantine</t>
  </si>
  <si>
    <t>NEGATIVE</t>
  </si>
  <si>
    <t>Stephens Creek</t>
  </si>
  <si>
    <t>Bison_02/21/2022_002</t>
  </si>
  <si>
    <t>81HL6102</t>
  </si>
  <si>
    <t>81BEV8307</t>
  </si>
  <si>
    <t>F</t>
  </si>
  <si>
    <t>Bison_02/21/2022_003</t>
  </si>
  <si>
    <t>81HL6103</t>
  </si>
  <si>
    <t>81BEV8308</t>
  </si>
  <si>
    <t>Bison_02/21/2022_004</t>
  </si>
  <si>
    <t>81HL6104</t>
  </si>
  <si>
    <t>81BEV8309</t>
  </si>
  <si>
    <t>Slaughter</t>
  </si>
  <si>
    <t>POSITIVE</t>
  </si>
  <si>
    <t>Tizers</t>
  </si>
  <si>
    <t>Bison_02/21/2022_005</t>
  </si>
  <si>
    <t>81HL6105</t>
  </si>
  <si>
    <t>81BEV8310</t>
  </si>
  <si>
    <t>Bison_02/21/2022_006</t>
  </si>
  <si>
    <t>81HL6106</t>
  </si>
  <si>
    <t>81BEV8311</t>
  </si>
  <si>
    <t>Bison_02/21/2022_007</t>
  </si>
  <si>
    <t>81HL6107</t>
  </si>
  <si>
    <t>81BEV8312</t>
  </si>
  <si>
    <t>Bison_02/21/2022_008</t>
  </si>
  <si>
    <t>81HL6108</t>
  </si>
  <si>
    <t>81BEV8313</t>
  </si>
  <si>
    <t>Released</t>
  </si>
  <si>
    <t>Bison_02/21/2022_009</t>
  </si>
  <si>
    <t>81HL6109</t>
  </si>
  <si>
    <t>81BEV8314</t>
  </si>
  <si>
    <t>Bison_02/21/2022_010</t>
  </si>
  <si>
    <t>81HL6181</t>
  </si>
  <si>
    <t>Bison_02/21/2022_011</t>
  </si>
  <si>
    <t>81HL6180</t>
  </si>
  <si>
    <t>Bison_02/21/2022_012</t>
  </si>
  <si>
    <t>81HL6179</t>
  </si>
  <si>
    <t>Bison_02/21/2022_013</t>
  </si>
  <si>
    <t>81HL6178</t>
  </si>
  <si>
    <t>Bison_02/21/2022_014</t>
  </si>
  <si>
    <t>81HL6177</t>
  </si>
  <si>
    <t>Bison_02/21/2022_015</t>
  </si>
  <si>
    <t>81HL6197</t>
  </si>
  <si>
    <t>Bison_02/21/2022_016</t>
  </si>
  <si>
    <t>81HL6176</t>
  </si>
  <si>
    <t>Bison_02/21/2022_017</t>
  </si>
  <si>
    <t>81HL6175</t>
  </si>
  <si>
    <t>Bison_02/21/2022_018</t>
  </si>
  <si>
    <t>81HL6200</t>
  </si>
  <si>
    <t>Bison_02/21/2022_019</t>
  </si>
  <si>
    <t>81HL6151</t>
  </si>
  <si>
    <t>Bison_02/21/2022_020</t>
  </si>
  <si>
    <t>81HL6199</t>
  </si>
  <si>
    <t>Bison_02/21/2022_021</t>
  </si>
  <si>
    <t>81HL6152</t>
  </si>
  <si>
    <t>Bison_02/21/2022_022</t>
  </si>
  <si>
    <t>81HL6153</t>
  </si>
  <si>
    <t>Bison_02/21/2022_023</t>
  </si>
  <si>
    <t>81HL6144</t>
  </si>
  <si>
    <t>Bison_02/21/2022_024</t>
  </si>
  <si>
    <t>81HL6145</t>
  </si>
  <si>
    <t>Bison_02/21/2022_025</t>
  </si>
  <si>
    <t>81HL6156</t>
  </si>
  <si>
    <t>Bison_02/21/2022_026</t>
  </si>
  <si>
    <t>81HL6158</t>
  </si>
  <si>
    <t>Bison_02/21/2022_027</t>
  </si>
  <si>
    <t>81HL6159</t>
  </si>
  <si>
    <t>Bison_02/21/2022_028</t>
  </si>
  <si>
    <t>81HL6161</t>
  </si>
  <si>
    <t>Bison_02/21/2022_029</t>
  </si>
  <si>
    <t>81HL6162</t>
  </si>
  <si>
    <t>Bison_02/21/2022_030</t>
  </si>
  <si>
    <t>81HL6163</t>
  </si>
  <si>
    <t>Bison_02/21/2022_031</t>
  </si>
  <si>
    <t>81HL6165</t>
  </si>
  <si>
    <t>Bison_02/21/2022_032</t>
  </si>
  <si>
    <t>81HL6167</t>
  </si>
  <si>
    <t>Bison_02/21/2022_033</t>
  </si>
  <si>
    <t>81HL6168</t>
  </si>
  <si>
    <t>Bison_02/21/2022_034</t>
  </si>
  <si>
    <t>81HL6169</t>
  </si>
  <si>
    <t>Bison_02/21/2022_035</t>
  </si>
  <si>
    <t>81HL6198</t>
  </si>
  <si>
    <t>Bison_02/21/2022_036</t>
  </si>
  <si>
    <t>81HL6172</t>
  </si>
  <si>
    <t>Bison_02/21/2022_037</t>
  </si>
  <si>
    <t>81HL6174</t>
  </si>
  <si>
    <t>Bison_02/21/2022_038</t>
  </si>
  <si>
    <t>Escaped squeeze</t>
  </si>
  <si>
    <t>AM</t>
  </si>
  <si>
    <t>YM</t>
  </si>
  <si>
    <t>AF</t>
  </si>
  <si>
    <t>YF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</si>
</sst>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mm/dd/yyyy"/>
  </numFmts>
  <fonts count="15">
    <font>
      <sz val="11"/>
      <color theme="1"/>
      <name val="Calibri"/>
      <family val="2"/>
      <scheme val="minor"/>
    </font>
    <font>
      <b/>
      <sz val="10"/>
      <color theme="1"/>
      <name val="Times New Roman"/>
      <family val="1"/>
    </font>
    <font>
      <sz val="10"/>
      <color theme="1"/>
      <name val="Times New Roman"/>
      <family val="1"/>
    </font>
    <font>
      <b/>
      <sz val="14"/>
      <color theme="1"/>
      <name val="Times New Roman"/>
      <family val="1"/>
    </font>
    <font>
      <b/>
      <sz val="11"/>
      <color theme="1"/>
      <name val="Times New Roman"/>
      <family val="1"/>
    </font>
    <font>
      <sz val="10"/>
      <color theme="1"/>
      <name val="Calibri"/>
      <family val="2"/>
      <scheme val="minor"/>
    </font>
    <font>
      <b/>
      <sz val="10"/>
      <color rgb="FF000000"/>
      <name val="Times New Roman"/>
      <family val="1"/>
    </font>
    <font>
      <sz val="10"/>
      <color rgb="FF000000"/>
      <name val="Times New Roman"/>
      <family val="1"/>
    </font>
    <font>
      <vertAlign val="superscript"/>
      <sz val="10"/>
      <color rgb="FF000000"/>
      <name val="Times New Roman"/>
      <family val="1"/>
    </font>
    <font>
      <sz val="11"/>
      <color rgb="FF000000"/>
      <name val="Calibri"/>
      <family val="2"/>
      <scheme val="minor"/>
    </font>
    <font>
      <sz val="9"/>
      <color theme="1"/>
      <name val="Times New Roman"/>
      <family val="1"/>
    </font>
    <font>
      <u/>
      <sz val="10"/>
      <color theme="1"/>
      <name val="Times New Roman"/>
      <family val="1"/>
    </font>
    <font>
      <b/>
      <sz val="11"/>
      <color rgb="FF000000"/>
      <name val="Times New Roman"/>
      <family val="1"/>
    </font>
    <font>
      <sz val="10"/>
      <name val="Times New Roman"/>
      <family val="1"/>
    </font>
    <font>
      <sz val="8"/>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FF"/>
        <bgColor rgb="FF000000"/>
      </patternFill>
    </fill>
    <fill>
      <patternFill patternType="solid">
        <fgColor theme="0"/>
        <bgColor rgb="FF000000"/>
      </patternFill>
    </fill>
    <fill>
      <patternFill patternType="solid">
        <fgColor rgb="FFD9D9D9"/>
        <bgColor rgb="FF000000"/>
      </patternFill>
    </fill>
    <fill>
      <patternFill patternType="solid">
        <fgColor theme="7" tint="0.59999389629810485"/>
        <bgColor indexed="64"/>
      </patternFill>
    </fill>
    <fill>
      <patternFill patternType="solid">
        <fgColor theme="0" tint="-0.249977111117893"/>
        <bgColor indexed="64"/>
      </patternFill>
    </fill>
    <fill>
      <patternFill patternType="solid">
        <fgColor rgb="FFF2F2F2"/>
        <bgColor rgb="FF000000"/>
      </patternFill>
    </fill>
  </fills>
  <borders count="5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auto="1"/>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top style="thin">
        <color auto="1"/>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auto="1"/>
      </right>
      <top style="medium">
        <color indexed="64"/>
      </top>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thin">
        <color auto="1"/>
      </right>
      <top/>
      <bottom/>
      <diagonal/>
    </border>
    <border>
      <left style="thin">
        <color auto="1"/>
      </left>
      <right style="medium">
        <color indexed="64"/>
      </right>
      <top style="thin">
        <color auto="1"/>
      </top>
      <bottom/>
      <diagonal/>
    </border>
    <border>
      <left style="medium">
        <color indexed="64"/>
      </left>
      <right style="thin">
        <color auto="1"/>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auto="1"/>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rgb="FF000000"/>
      </top>
      <bottom/>
      <diagonal/>
    </border>
    <border>
      <left/>
      <right/>
      <top style="thin">
        <color rgb="FF000000"/>
      </top>
      <bottom/>
      <diagonal/>
    </border>
    <border>
      <left/>
      <right style="thin">
        <color indexed="64"/>
      </right>
      <top style="thin">
        <color rgb="FF000000"/>
      </top>
      <bottom/>
      <diagonal/>
    </border>
    <border>
      <left style="thin">
        <color indexed="64"/>
      </left>
      <right/>
      <top style="medium">
        <color indexed="64"/>
      </top>
      <bottom/>
      <diagonal/>
    </border>
    <border>
      <left style="medium">
        <color indexed="64"/>
      </left>
      <right/>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1">
    <xf numFmtId="0" fontId="0" fillId="0" borderId="0"/>
  </cellStyleXfs>
  <cellXfs count="320">
    <xf numFmtId="0" fontId="0" fillId="0" borderId="0" xfId="0"/>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2" borderId="6" xfId="0" applyFont="1" applyFill="1" applyBorder="1" applyAlignment="1">
      <alignment horizontal="center" vertical="center" wrapText="1"/>
    </xf>
    <xf numFmtId="0" fontId="1" fillId="2" borderId="0" xfId="0" applyFont="1" applyFill="1" applyAlignment="1">
      <alignment vertical="center"/>
    </xf>
    <xf numFmtId="0" fontId="2" fillId="2" borderId="20" xfId="0" applyFont="1" applyFill="1" applyBorder="1" applyAlignment="1">
      <alignment horizontal="center" vertical="center"/>
    </xf>
    <xf numFmtId="0" fontId="2" fillId="2" borderId="17"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2" fillId="2" borderId="19" xfId="0" applyFont="1" applyFill="1" applyBorder="1" applyAlignment="1">
      <alignment horizontal="center" vertical="center" wrapText="1"/>
    </xf>
    <xf numFmtId="14" fontId="2" fillId="2" borderId="20" xfId="0" applyNumberFormat="1" applyFont="1" applyFill="1" applyBorder="1" applyAlignment="1">
      <alignment horizontal="center" vertical="center"/>
    </xf>
    <xf numFmtId="0" fontId="0" fillId="0" borderId="0" xfId="0" applyAlignment="1">
      <alignment horizontal="center" vertical="center"/>
    </xf>
    <xf numFmtId="0" fontId="1" fillId="3" borderId="20" xfId="0" applyFont="1" applyFill="1" applyBorder="1" applyAlignment="1">
      <alignment horizontal="center" vertical="center"/>
    </xf>
    <xf numFmtId="0" fontId="2" fillId="3" borderId="20" xfId="0" applyFont="1" applyFill="1" applyBorder="1" applyAlignment="1">
      <alignment horizontal="center" vertical="center"/>
    </xf>
    <xf numFmtId="0" fontId="0" fillId="3" borderId="0" xfId="0" applyFill="1" applyAlignment="1">
      <alignment horizontal="center" vertical="center"/>
    </xf>
    <xf numFmtId="14" fontId="2" fillId="2" borderId="26" xfId="0" applyNumberFormat="1" applyFont="1" applyFill="1" applyBorder="1" applyAlignment="1">
      <alignment horizontal="center" vertical="center"/>
    </xf>
    <xf numFmtId="0" fontId="2" fillId="3" borderId="26" xfId="0" applyFont="1" applyFill="1" applyBorder="1" applyAlignment="1">
      <alignment horizontal="center" vertical="center"/>
    </xf>
    <xf numFmtId="0" fontId="1" fillId="3" borderId="26" xfId="0" applyFont="1" applyFill="1" applyBorder="1" applyAlignment="1">
      <alignment horizontal="center" vertical="center"/>
    </xf>
    <xf numFmtId="0" fontId="2" fillId="2" borderId="26" xfId="0" applyFont="1" applyFill="1" applyBorder="1" applyAlignment="1">
      <alignment horizontal="center" vertical="center"/>
    </xf>
    <xf numFmtId="0" fontId="1" fillId="2" borderId="30" xfId="0" applyFont="1" applyFill="1" applyBorder="1" applyAlignment="1">
      <alignment horizontal="center" vertical="center" wrapText="1"/>
    </xf>
    <xf numFmtId="0" fontId="1" fillId="3" borderId="30" xfId="0" applyFont="1" applyFill="1" applyBorder="1" applyAlignment="1">
      <alignment horizontal="center" vertical="center" wrapText="1"/>
    </xf>
    <xf numFmtId="0" fontId="1" fillId="3" borderId="30" xfId="0" applyFont="1" applyFill="1" applyBorder="1" applyAlignment="1">
      <alignment horizontal="center" vertical="center"/>
    </xf>
    <xf numFmtId="0" fontId="1" fillId="2" borderId="30" xfId="0" applyFont="1" applyFill="1" applyBorder="1" applyAlignment="1">
      <alignment horizontal="center" vertical="center"/>
    </xf>
    <xf numFmtId="0" fontId="0" fillId="0" borderId="0" xfId="0" applyFill="1" applyBorder="1"/>
    <xf numFmtId="14" fontId="2" fillId="0" borderId="0" xfId="0" applyNumberFormat="1" applyFont="1" applyFill="1" applyBorder="1" applyAlignment="1">
      <alignment horizontal="left" vertical="top"/>
    </xf>
    <xf numFmtId="0" fontId="2" fillId="0" borderId="0" xfId="0" applyFont="1" applyFill="1" applyBorder="1" applyAlignment="1">
      <alignment horizontal="left"/>
    </xf>
    <xf numFmtId="0" fontId="2" fillId="0" borderId="0" xfId="0" applyFont="1" applyFill="1" applyBorder="1" applyAlignment="1">
      <alignment horizontal="left" wrapText="1"/>
    </xf>
    <xf numFmtId="0" fontId="5" fillId="2" borderId="0" xfId="0" applyFont="1" applyFill="1" applyAlignment="1">
      <alignment horizontal="left" vertical="center"/>
    </xf>
    <xf numFmtId="0" fontId="2" fillId="4" borderId="29" xfId="0" applyFont="1" applyFill="1" applyBorder="1" applyAlignment="1">
      <alignment horizontal="center" vertical="center" wrapText="1"/>
    </xf>
    <xf numFmtId="0" fontId="2" fillId="4" borderId="5" xfId="0" applyFont="1" applyFill="1" applyBorder="1" applyAlignment="1">
      <alignment horizontal="center" vertical="center" wrapText="1"/>
    </xf>
    <xf numFmtId="14" fontId="2" fillId="2" borderId="4" xfId="0" applyNumberFormat="1" applyFont="1" applyFill="1" applyBorder="1" applyAlignment="1">
      <alignment horizontal="center" vertical="center"/>
    </xf>
    <xf numFmtId="14" fontId="2" fillId="2" borderId="16" xfId="0" applyNumberFormat="1" applyFont="1" applyFill="1" applyBorder="1" applyAlignment="1">
      <alignment horizontal="center" vertical="center"/>
    </xf>
    <xf numFmtId="0" fontId="2" fillId="4" borderId="38" xfId="0" applyFont="1" applyFill="1" applyBorder="1" applyAlignment="1">
      <alignment horizontal="center" vertical="center"/>
    </xf>
    <xf numFmtId="0" fontId="2" fillId="2" borderId="39" xfId="0" applyFont="1" applyFill="1" applyBorder="1" applyAlignment="1">
      <alignment horizontal="center" vertical="center"/>
    </xf>
    <xf numFmtId="0" fontId="2" fillId="2" borderId="40" xfId="0" applyFont="1" applyFill="1" applyBorder="1" applyAlignment="1">
      <alignment horizontal="center" vertical="center"/>
    </xf>
    <xf numFmtId="0" fontId="0" fillId="2" borderId="0" xfId="0" applyFill="1"/>
    <xf numFmtId="0" fontId="6" fillId="6" borderId="0" xfId="0" applyFont="1" applyFill="1" applyAlignment="1">
      <alignment horizontal="center" vertical="center"/>
    </xf>
    <xf numFmtId="0" fontId="7" fillId="5" borderId="13" xfId="0" applyFont="1" applyFill="1" applyBorder="1" applyAlignment="1">
      <alignment horizontal="center" vertical="center" wrapText="1"/>
    </xf>
    <xf numFmtId="0" fontId="7" fillId="5" borderId="14" xfId="0" applyFont="1" applyFill="1" applyBorder="1" applyAlignment="1">
      <alignment horizontal="center" vertical="center" wrapText="1"/>
    </xf>
    <xf numFmtId="0" fontId="7" fillId="6" borderId="0" xfId="0" applyFont="1" applyFill="1" applyAlignment="1">
      <alignment horizontal="center" vertical="center" wrapText="1"/>
    </xf>
    <xf numFmtId="0" fontId="0" fillId="2" borderId="0" xfId="0" applyFill="1" applyAlignment="1">
      <alignment horizontal="left" vertical="center"/>
    </xf>
    <xf numFmtId="0" fontId="7" fillId="7" borderId="0" xfId="0" applyFont="1" applyFill="1" applyAlignment="1">
      <alignment horizontal="center" vertical="center"/>
    </xf>
    <xf numFmtId="0" fontId="7" fillId="7" borderId="5" xfId="0" applyFont="1" applyFill="1" applyBorder="1" applyAlignment="1">
      <alignment horizontal="center" vertical="center"/>
    </xf>
    <xf numFmtId="0" fontId="7" fillId="7" borderId="11" xfId="0" applyFont="1" applyFill="1" applyBorder="1" applyAlignment="1">
      <alignment horizontal="center" vertical="center"/>
    </xf>
    <xf numFmtId="0" fontId="7" fillId="6" borderId="0" xfId="0" applyFont="1" applyFill="1" applyAlignment="1">
      <alignment horizontal="left" vertical="center"/>
    </xf>
    <xf numFmtId="0" fontId="0" fillId="0" borderId="0" xfId="0" applyAlignment="1">
      <alignment horizontal="left" vertical="center"/>
    </xf>
    <xf numFmtId="0" fontId="7" fillId="5" borderId="46" xfId="0" applyFont="1" applyFill="1" applyBorder="1" applyAlignment="1">
      <alignment horizontal="center" vertical="center"/>
    </xf>
    <xf numFmtId="0" fontId="7" fillId="5" borderId="47" xfId="0" applyFont="1" applyFill="1" applyBorder="1" applyAlignment="1">
      <alignment horizontal="center" vertical="center"/>
    </xf>
    <xf numFmtId="0" fontId="7" fillId="5" borderId="48" xfId="0" applyFont="1" applyFill="1" applyBorder="1" applyAlignment="1">
      <alignment horizontal="center" vertical="center"/>
    </xf>
    <xf numFmtId="0" fontId="7" fillId="5" borderId="5" xfId="0" applyFont="1" applyFill="1" applyBorder="1" applyAlignment="1">
      <alignment horizontal="center" vertical="center"/>
    </xf>
    <xf numFmtId="0" fontId="7" fillId="5" borderId="0" xfId="0" applyFont="1" applyFill="1" applyAlignment="1">
      <alignment horizontal="center" vertical="center"/>
    </xf>
    <xf numFmtId="0" fontId="7" fillId="5" borderId="11" xfId="0" applyFont="1" applyFill="1" applyBorder="1" applyAlignment="1">
      <alignment horizontal="center" vertical="center"/>
    </xf>
    <xf numFmtId="0" fontId="7" fillId="7" borderId="21" xfId="0" applyFont="1" applyFill="1" applyBorder="1" applyAlignment="1">
      <alignment horizontal="center" vertical="center"/>
    </xf>
    <xf numFmtId="0" fontId="7" fillId="7" borderId="22" xfId="0" applyFont="1" applyFill="1" applyBorder="1" applyAlignment="1">
      <alignment horizontal="center" vertical="center"/>
    </xf>
    <xf numFmtId="0" fontId="7" fillId="7" borderId="23"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21"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23" xfId="0" applyFont="1" applyFill="1" applyBorder="1" applyAlignment="1">
      <alignment horizontal="center" vertical="center"/>
    </xf>
    <xf numFmtId="0" fontId="6" fillId="6" borderId="12" xfId="0" applyFont="1" applyFill="1" applyBorder="1" applyAlignment="1">
      <alignment vertical="center"/>
    </xf>
    <xf numFmtId="0" fontId="6" fillId="6" borderId="13" xfId="0" applyFont="1" applyFill="1" applyBorder="1" applyAlignment="1">
      <alignment vertical="center"/>
    </xf>
    <xf numFmtId="0" fontId="6" fillId="2" borderId="14" xfId="0" applyFont="1" applyFill="1" applyBorder="1" applyAlignment="1">
      <alignment horizontal="left" vertical="top"/>
    </xf>
    <xf numFmtId="0" fontId="6" fillId="6" borderId="0" xfId="0" applyFont="1" applyFill="1" applyAlignment="1">
      <alignment horizontal="right" vertical="top"/>
    </xf>
    <xf numFmtId="0" fontId="8" fillId="6" borderId="0" xfId="0" applyFont="1" applyFill="1" applyAlignment="1">
      <alignment horizontal="left" vertical="center"/>
    </xf>
    <xf numFmtId="0" fontId="7" fillId="6" borderId="0" xfId="0" applyFont="1" applyFill="1" applyAlignment="1">
      <alignment horizontal="center" vertical="center"/>
    </xf>
    <xf numFmtId="0" fontId="9" fillId="6" borderId="0" xfId="0" applyFont="1" applyFill="1" applyAlignment="1">
      <alignment horizontal="center" vertical="center"/>
    </xf>
    <xf numFmtId="0" fontId="2" fillId="3" borderId="49"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3" borderId="38" xfId="0" applyFont="1" applyFill="1" applyBorder="1" applyAlignment="1">
      <alignment horizontal="center" vertical="center"/>
    </xf>
    <xf numFmtId="0" fontId="2" fillId="2" borderId="51" xfId="0" applyFont="1" applyFill="1" applyBorder="1" applyAlignment="1">
      <alignment horizontal="center" vertical="center"/>
    </xf>
    <xf numFmtId="0" fontId="1" fillId="2" borderId="0" xfId="0" applyFont="1" applyFill="1" applyAlignment="1">
      <alignment vertical="center" wrapText="1"/>
    </xf>
    <xf numFmtId="0" fontId="10" fillId="2" borderId="52" xfId="0" applyFont="1" applyFill="1" applyBorder="1" applyAlignment="1">
      <alignment horizontal="center" vertical="center" wrapText="1"/>
    </xf>
    <xf numFmtId="14" fontId="2" fillId="2" borderId="26" xfId="0" applyNumberFormat="1" applyFont="1" applyFill="1" applyBorder="1" applyAlignment="1">
      <alignment horizontal="center"/>
    </xf>
    <xf numFmtId="0" fontId="2" fillId="0" borderId="0" xfId="0" applyFont="1" applyProtection="1"/>
    <xf numFmtId="0" fontId="1" fillId="2" borderId="5" xfId="0" applyFont="1" applyFill="1" applyBorder="1" applyAlignment="1" applyProtection="1">
      <alignment horizontal="center" vertical="center"/>
    </xf>
    <xf numFmtId="49" fontId="2" fillId="2" borderId="4" xfId="0" applyNumberFormat="1" applyFont="1" applyFill="1" applyBorder="1" applyAlignment="1" applyProtection="1">
      <alignment horizontal="center" vertical="center"/>
    </xf>
    <xf numFmtId="0" fontId="1" fillId="2" borderId="16" xfId="0" applyFont="1" applyFill="1" applyBorder="1" applyAlignment="1" applyProtection="1">
      <alignment horizontal="center" vertical="center"/>
    </xf>
    <xf numFmtId="0" fontId="1" fillId="2" borderId="17" xfId="0" applyFont="1" applyFill="1" applyBorder="1" applyAlignment="1" applyProtection="1">
      <alignment horizontal="center" vertical="center"/>
    </xf>
    <xf numFmtId="0" fontId="2" fillId="0" borderId="0" xfId="0" applyFont="1" applyAlignment="1" applyProtection="1">
      <alignment horizontal="center" vertical="center"/>
    </xf>
    <xf numFmtId="0" fontId="2" fillId="0" borderId="0" xfId="0" applyFont="1" applyAlignment="1" applyProtection="1">
      <alignment horizontal="center"/>
    </xf>
    <xf numFmtId="0" fontId="2" fillId="2" borderId="5" xfId="0" applyFont="1" applyFill="1" applyBorder="1" applyAlignment="1" applyProtection="1">
      <alignment horizontal="center" vertical="center"/>
      <protection locked="0"/>
    </xf>
    <xf numFmtId="0" fontId="2" fillId="2" borderId="0" xfId="0" applyFont="1" applyFill="1" applyBorder="1" applyAlignment="1" applyProtection="1">
      <alignment horizontal="center" vertical="center"/>
      <protection locked="0"/>
    </xf>
    <xf numFmtId="0" fontId="2" fillId="2" borderId="6" xfId="0" applyFont="1" applyFill="1" applyBorder="1" applyAlignment="1" applyProtection="1">
      <alignment horizontal="center" vertical="center"/>
      <protection locked="0"/>
    </xf>
    <xf numFmtId="0" fontId="2" fillId="2" borderId="4" xfId="0" applyFont="1" applyFill="1" applyBorder="1" applyAlignment="1" applyProtection="1">
      <alignment vertical="center"/>
      <protection locked="0"/>
    </xf>
    <xf numFmtId="0" fontId="2" fillId="2" borderId="0" xfId="0" applyFont="1" applyFill="1" applyAlignment="1" applyProtection="1">
      <alignment horizontal="center" vertical="center"/>
      <protection locked="0"/>
    </xf>
    <xf numFmtId="0" fontId="2" fillId="2" borderId="6" xfId="0" applyFont="1" applyFill="1" applyBorder="1" applyAlignment="1" applyProtection="1">
      <alignment vertical="center"/>
      <protection locked="0"/>
    </xf>
    <xf numFmtId="16" fontId="2" fillId="2" borderId="4" xfId="0" applyNumberFormat="1" applyFont="1" applyFill="1" applyBorder="1" applyAlignment="1" applyProtection="1">
      <alignment vertical="center"/>
      <protection locked="0"/>
    </xf>
    <xf numFmtId="0" fontId="2" fillId="2" borderId="0" xfId="0" applyFont="1" applyFill="1" applyAlignment="1" applyProtection="1">
      <alignment vertical="center"/>
      <protection locked="0"/>
    </xf>
    <xf numFmtId="0" fontId="2" fillId="2" borderId="7" xfId="0" applyFont="1" applyFill="1" applyBorder="1" applyAlignment="1" applyProtection="1">
      <alignment vertical="center"/>
      <protection locked="0"/>
    </xf>
    <xf numFmtId="0" fontId="2" fillId="2" borderId="17" xfId="0" applyFont="1" applyFill="1" applyBorder="1" applyAlignment="1" applyProtection="1">
      <alignment vertical="center"/>
      <protection locked="0"/>
    </xf>
    <xf numFmtId="0" fontId="2" fillId="2" borderId="19" xfId="0" applyFont="1" applyFill="1" applyBorder="1" applyAlignment="1" applyProtection="1">
      <alignment vertical="center"/>
      <protection locked="0"/>
    </xf>
    <xf numFmtId="14" fontId="2" fillId="2" borderId="20" xfId="0" applyNumberFormat="1" applyFont="1" applyFill="1" applyBorder="1" applyAlignment="1" applyProtection="1">
      <alignment horizontal="right" vertical="center"/>
      <protection locked="0"/>
    </xf>
    <xf numFmtId="1" fontId="2" fillId="2" borderId="20" xfId="0" applyNumberFormat="1" applyFont="1" applyFill="1" applyBorder="1" applyAlignment="1" applyProtection="1">
      <alignment horizontal="center" vertical="center"/>
      <protection locked="0"/>
    </xf>
    <xf numFmtId="0" fontId="2" fillId="2" borderId="20" xfId="0" applyFont="1" applyFill="1" applyBorder="1" applyAlignment="1" applyProtection="1">
      <alignment horizontal="center" vertical="center"/>
      <protection locked="0"/>
    </xf>
    <xf numFmtId="49" fontId="2" fillId="2" borderId="0" xfId="0" applyNumberFormat="1" applyFont="1" applyFill="1" applyBorder="1" applyAlignment="1" applyProtection="1">
      <alignment horizontal="center" vertical="center"/>
      <protection locked="0"/>
    </xf>
    <xf numFmtId="49" fontId="1" fillId="2" borderId="0" xfId="0" applyNumberFormat="1" applyFont="1" applyFill="1" applyBorder="1" applyAlignment="1" applyProtection="1">
      <alignment horizontal="center" vertical="center"/>
    </xf>
    <xf numFmtId="0" fontId="1" fillId="8" borderId="0" xfId="0" applyFont="1" applyFill="1" applyAlignment="1" applyProtection="1">
      <alignment horizontal="center" vertical="center"/>
    </xf>
    <xf numFmtId="0" fontId="11" fillId="2" borderId="0" xfId="0" applyFont="1" applyFill="1" applyAlignment="1" applyProtection="1">
      <alignment horizontal="center" vertical="center" wrapText="1"/>
    </xf>
    <xf numFmtId="0" fontId="11" fillId="2" borderId="6" xfId="0" applyFont="1" applyFill="1" applyBorder="1" applyAlignment="1" applyProtection="1">
      <alignment horizontal="center" vertical="center"/>
    </xf>
    <xf numFmtId="14" fontId="2" fillId="2" borderId="26" xfId="0" applyNumberFormat="1" applyFont="1" applyFill="1" applyBorder="1" applyAlignment="1" applyProtection="1">
      <alignment horizontal="right" vertical="center"/>
      <protection locked="0"/>
    </xf>
    <xf numFmtId="1" fontId="1" fillId="2" borderId="26" xfId="0" applyNumberFormat="1" applyFont="1" applyFill="1" applyBorder="1" applyAlignment="1" applyProtection="1">
      <alignment horizontal="center" vertical="center"/>
      <protection locked="0"/>
    </xf>
    <xf numFmtId="0" fontId="1" fillId="2" borderId="26" xfId="0" applyFont="1" applyFill="1" applyBorder="1" applyAlignment="1" applyProtection="1">
      <alignment horizontal="center" vertical="center"/>
      <protection locked="0"/>
    </xf>
    <xf numFmtId="0" fontId="2" fillId="0" borderId="43" xfId="0" applyFont="1" applyFill="1" applyBorder="1" applyAlignment="1">
      <alignment horizontal="center" vertical="center"/>
    </xf>
    <xf numFmtId="0" fontId="2" fillId="0" borderId="53" xfId="0" applyFont="1" applyFill="1" applyBorder="1" applyAlignment="1">
      <alignment horizontal="center" vertical="center"/>
    </xf>
    <xf numFmtId="0" fontId="2" fillId="0" borderId="44" xfId="0" applyFont="1" applyFill="1" applyBorder="1" applyAlignment="1">
      <alignment horizontal="center" vertical="center"/>
    </xf>
    <xf numFmtId="0" fontId="2" fillId="0" borderId="54" xfId="0" applyFont="1" applyFill="1" applyBorder="1" applyAlignment="1">
      <alignment horizontal="center" vertical="center"/>
    </xf>
    <xf numFmtId="0" fontId="2" fillId="0" borderId="0" xfId="0" applyFont="1" applyFill="1"/>
    <xf numFmtId="165" fontId="4" fillId="0" borderId="27" xfId="0" applyNumberFormat="1" applyFont="1" applyBorder="1" applyAlignment="1">
      <alignment horizontal="center" vertical="center"/>
    </xf>
    <xf numFmtId="0" fontId="4" fillId="0" borderId="27" xfId="0" applyFont="1" applyBorder="1" applyAlignment="1">
      <alignment horizontal="center" vertical="center"/>
    </xf>
    <xf numFmtId="0" fontId="12" fillId="0" borderId="27" xfId="0" applyFont="1" applyBorder="1" applyAlignment="1">
      <alignment horizontal="center" vertical="center"/>
    </xf>
    <xf numFmtId="1" fontId="12" fillId="0" borderId="27" xfId="0" applyNumberFormat="1" applyFont="1" applyBorder="1" applyAlignment="1">
      <alignment horizontal="center" vertical="center"/>
    </xf>
    <xf numFmtId="14" fontId="0" fillId="0" borderId="0" xfId="0" applyNumberFormat="1"/>
    <xf numFmtId="0" fontId="2" fillId="0" borderId="0" xfId="0" applyFont="1"/>
    <xf numFmtId="0" fontId="2" fillId="9" borderId="0" xfId="0" applyFont="1" applyFill="1" applyProtection="1"/>
    <xf numFmtId="0" fontId="2" fillId="9" borderId="0" xfId="0" applyFont="1" applyFill="1" applyAlignment="1" applyProtection="1">
      <alignment horizontal="center"/>
    </xf>
    <xf numFmtId="0" fontId="2" fillId="9" borderId="0" xfId="0" applyFont="1" applyFill="1" applyAlignment="1" applyProtection="1">
      <alignment vertical="center"/>
    </xf>
    <xf numFmtId="0" fontId="1" fillId="9" borderId="0" xfId="0" applyFont="1" applyFill="1" applyAlignment="1" applyProtection="1">
      <alignment horizontal="center" vertical="center"/>
    </xf>
    <xf numFmtId="0" fontId="2" fillId="9" borderId="0" xfId="0" applyFont="1" applyFill="1" applyAlignment="1" applyProtection="1">
      <alignment horizontal="center" vertical="center"/>
    </xf>
    <xf numFmtId="0" fontId="2" fillId="9" borderId="0" xfId="0" applyFont="1" applyFill="1" applyAlignment="1" applyProtection="1">
      <alignment horizontal="right" vertical="center"/>
    </xf>
    <xf numFmtId="0" fontId="1" fillId="9" borderId="0" xfId="0" applyFont="1" applyFill="1" applyAlignment="1" applyProtection="1">
      <alignment horizontal="right" vertical="center"/>
    </xf>
    <xf numFmtId="0" fontId="1" fillId="9" borderId="0" xfId="0" applyFont="1" applyFill="1" applyAlignment="1" applyProtection="1">
      <alignment vertical="center"/>
    </xf>
    <xf numFmtId="0" fontId="2" fillId="9" borderId="0" xfId="0" applyFont="1" applyFill="1" applyBorder="1" applyAlignment="1" applyProtection="1">
      <alignment vertical="center"/>
    </xf>
    <xf numFmtId="0" fontId="2" fillId="2" borderId="0" xfId="0" applyFont="1" applyFill="1" applyBorder="1" applyAlignment="1" applyProtection="1">
      <alignment vertical="center"/>
      <protection locked="0"/>
    </xf>
    <xf numFmtId="16" fontId="2" fillId="2" borderId="0" xfId="0" applyNumberFormat="1" applyFont="1" applyFill="1" applyBorder="1" applyAlignment="1" applyProtection="1">
      <alignment vertical="center"/>
      <protection locked="0"/>
    </xf>
    <xf numFmtId="0" fontId="13" fillId="2" borderId="20" xfId="0" applyFont="1" applyFill="1" applyBorder="1" applyAlignment="1" applyProtection="1">
      <alignment horizontal="center" vertical="center"/>
      <protection locked="0"/>
    </xf>
    <xf numFmtId="1" fontId="13" fillId="2" borderId="20" xfId="0" applyNumberFormat="1" applyFont="1" applyFill="1" applyBorder="1" applyAlignment="1" applyProtection="1">
      <alignment horizontal="center" vertical="center"/>
      <protection locked="0"/>
    </xf>
    <xf numFmtId="14" fontId="0" fillId="0" borderId="0" xfId="0" applyNumberFormat="1" applyAlignment="1">
      <alignment horizontal="center"/>
    </xf>
    <xf numFmtId="0" fontId="0" fillId="0" borderId="0" xfId="0" applyAlignment="1">
      <alignment horizontal="center"/>
    </xf>
    <xf numFmtId="14" fontId="2" fillId="0" borderId="52" xfId="0" applyNumberFormat="1" applyFont="1" applyFill="1" applyBorder="1" applyAlignment="1">
      <alignment horizontal="center" vertical="center"/>
    </xf>
    <xf numFmtId="0" fontId="1" fillId="3" borderId="52" xfId="0" applyFont="1" applyFill="1" applyBorder="1" applyAlignment="1" applyProtection="1">
      <alignment horizontal="center" vertical="center"/>
    </xf>
    <xf numFmtId="1" fontId="1" fillId="3" borderId="53" xfId="0" applyNumberFormat="1" applyFont="1" applyFill="1" applyBorder="1" applyAlignment="1" applyProtection="1">
      <alignment horizontal="center" vertical="center" wrapText="1"/>
    </xf>
    <xf numFmtId="0" fontId="1" fillId="3" borderId="53" xfId="0" applyFont="1" applyFill="1" applyBorder="1" applyAlignment="1" applyProtection="1">
      <alignment horizontal="center" vertical="center" wrapText="1"/>
    </xf>
    <xf numFmtId="0" fontId="1" fillId="3" borderId="53" xfId="0" applyFont="1" applyFill="1" applyBorder="1" applyAlignment="1" applyProtection="1">
      <alignment horizontal="center" vertical="center"/>
    </xf>
    <xf numFmtId="14" fontId="2" fillId="0" borderId="26" xfId="0" applyNumberFormat="1" applyFont="1" applyBorder="1" applyAlignment="1">
      <alignment horizontal="center"/>
    </xf>
    <xf numFmtId="0" fontId="2" fillId="0" borderId="26" xfId="0" applyFont="1" applyBorder="1" applyAlignment="1">
      <alignment horizontal="center"/>
    </xf>
    <xf numFmtId="14" fontId="2" fillId="0" borderId="20" xfId="0" applyNumberFormat="1" applyFont="1" applyBorder="1" applyAlignment="1">
      <alignment horizontal="center"/>
    </xf>
    <xf numFmtId="0" fontId="2" fillId="0" borderId="20" xfId="0" applyFont="1" applyBorder="1" applyAlignment="1">
      <alignment horizontal="center"/>
    </xf>
    <xf numFmtId="0" fontId="2" fillId="0" borderId="0" xfId="0" applyFont="1" applyAlignment="1">
      <alignment horizontal="center"/>
    </xf>
    <xf numFmtId="0" fontId="1" fillId="3" borderId="27" xfId="0" applyFont="1" applyFill="1" applyBorder="1" applyAlignment="1">
      <alignment horizontal="center" vertical="center"/>
    </xf>
    <xf numFmtId="0" fontId="7" fillId="5" borderId="0" xfId="0" applyFont="1" applyFill="1"/>
    <xf numFmtId="0" fontId="6" fillId="5" borderId="39" xfId="0" applyFont="1" applyFill="1" applyBorder="1"/>
    <xf numFmtId="0" fontId="7" fillId="5" borderId="42" xfId="0" applyFont="1" applyFill="1" applyBorder="1"/>
    <xf numFmtId="0" fontId="7" fillId="5" borderId="2" xfId="0" applyFont="1" applyFill="1" applyBorder="1"/>
    <xf numFmtId="0" fontId="7" fillId="5" borderId="17" xfId="0" applyFont="1" applyFill="1" applyBorder="1"/>
    <xf numFmtId="0" fontId="1" fillId="9" borderId="0" xfId="0" applyFont="1" applyFill="1" applyBorder="1" applyAlignment="1" applyProtection="1">
      <alignment horizontal="center" vertical="center"/>
    </xf>
    <xf numFmtId="0" fontId="1" fillId="9" borderId="0" xfId="0" applyFont="1" applyFill="1" applyBorder="1" applyAlignment="1" applyProtection="1">
      <alignment horizontal="right" vertical="center"/>
    </xf>
    <xf numFmtId="0" fontId="2" fillId="9" borderId="0" xfId="0" applyFont="1" applyFill="1" applyBorder="1" applyAlignment="1" applyProtection="1">
      <alignment vertical="center"/>
      <protection locked="0"/>
    </xf>
    <xf numFmtId="0" fontId="2" fillId="2" borderId="12" xfId="0" applyFont="1" applyFill="1" applyBorder="1" applyAlignment="1" applyProtection="1">
      <alignment horizontal="center" vertical="center" wrapText="1"/>
    </xf>
    <xf numFmtId="0" fontId="2" fillId="2" borderId="13" xfId="0" applyFont="1" applyFill="1" applyBorder="1" applyAlignment="1" applyProtection="1">
      <alignment horizontal="center" vertical="center" wrapText="1"/>
    </xf>
    <xf numFmtId="0" fontId="2" fillId="2" borderId="14" xfId="0" applyFont="1" applyFill="1" applyBorder="1" applyAlignment="1" applyProtection="1">
      <alignment horizontal="center" vertical="center" wrapText="1"/>
    </xf>
    <xf numFmtId="0" fontId="1" fillId="2" borderId="9" xfId="0" applyFont="1" applyFill="1" applyBorder="1" applyAlignment="1" applyProtection="1">
      <alignment horizontal="center" vertical="center"/>
    </xf>
    <xf numFmtId="0" fontId="1" fillId="2" borderId="10" xfId="0" applyFont="1" applyFill="1" applyBorder="1" applyAlignment="1" applyProtection="1">
      <alignment horizontal="center" vertical="center"/>
    </xf>
    <xf numFmtId="0" fontId="1" fillId="2" borderId="8" xfId="0" applyFont="1" applyFill="1" applyBorder="1" applyAlignment="1" applyProtection="1">
      <alignment horizontal="center" vertical="center"/>
    </xf>
    <xf numFmtId="0" fontId="1" fillId="9" borderId="0" xfId="0" applyFont="1" applyFill="1" applyProtection="1"/>
    <xf numFmtId="0" fontId="2" fillId="2" borderId="15" xfId="0" applyFont="1" applyFill="1" applyBorder="1" applyAlignment="1" applyProtection="1">
      <alignment horizontal="center" vertical="center" wrapText="1"/>
    </xf>
    <xf numFmtId="49" fontId="1" fillId="2" borderId="55" xfId="0" applyNumberFormat="1" applyFont="1" applyFill="1" applyBorder="1" applyAlignment="1" applyProtection="1">
      <alignment horizontal="center" vertical="center"/>
    </xf>
    <xf numFmtId="0" fontId="1" fillId="2" borderId="56" xfId="0" applyFont="1" applyFill="1" applyBorder="1" applyAlignment="1" applyProtection="1">
      <alignment horizontal="center" vertical="center"/>
    </xf>
    <xf numFmtId="0" fontId="1" fillId="2" borderId="0" xfId="0" applyFont="1" applyFill="1" applyAlignment="1">
      <alignment horizontal="left" vertical="center" wrapText="1"/>
    </xf>
    <xf numFmtId="14" fontId="2" fillId="2" borderId="4" xfId="0" applyNumberFormat="1" applyFont="1" applyFill="1" applyBorder="1" applyAlignment="1">
      <alignment horizontal="center" vertical="top"/>
    </xf>
    <xf numFmtId="14" fontId="1" fillId="2" borderId="41" xfId="0" applyNumberFormat="1" applyFont="1" applyFill="1" applyBorder="1" applyAlignment="1">
      <alignment horizontal="center" vertical="center"/>
    </xf>
    <xf numFmtId="0" fontId="7" fillId="5" borderId="12" xfId="0" applyFont="1" applyFill="1" applyBorder="1" applyAlignment="1">
      <alignment horizontal="center" vertical="center" wrapText="1"/>
    </xf>
    <xf numFmtId="0" fontId="3" fillId="2" borderId="0" xfId="0" applyFont="1" applyFill="1" applyAlignment="1">
      <alignment horizontal="left" vertical="center"/>
    </xf>
    <xf numFmtId="0" fontId="1" fillId="2" borderId="0" xfId="0" applyFont="1" applyFill="1" applyAlignment="1">
      <alignment horizontal="left" vertical="top" wrapText="1"/>
    </xf>
    <xf numFmtId="0" fontId="1" fillId="2" borderId="0" xfId="0" applyFont="1" applyFill="1" applyBorder="1" applyAlignment="1" applyProtection="1">
      <alignment horizontal="center" vertical="center"/>
    </xf>
    <xf numFmtId="14" fontId="7" fillId="5" borderId="20" xfId="0" applyNumberFormat="1" applyFont="1" applyFill="1" applyBorder="1" applyAlignment="1">
      <alignment horizontal="right" vertical="center"/>
    </xf>
    <xf numFmtId="0" fontId="7" fillId="5" borderId="20" xfId="0" applyFont="1" applyFill="1" applyBorder="1" applyAlignment="1">
      <alignment horizontal="center" vertical="center"/>
    </xf>
    <xf numFmtId="0" fontId="7" fillId="5" borderId="20" xfId="0" applyFont="1" applyFill="1" applyBorder="1" applyAlignment="1">
      <alignment horizontal="center"/>
    </xf>
    <xf numFmtId="14" fontId="7" fillId="5" borderId="20" xfId="0" applyNumberFormat="1" applyFont="1" applyFill="1" applyBorder="1" applyAlignment="1">
      <alignment horizontal="center"/>
    </xf>
    <xf numFmtId="0" fontId="7" fillId="5" borderId="20" xfId="0" applyFont="1" applyFill="1" applyBorder="1"/>
    <xf numFmtId="0" fontId="7" fillId="10" borderId="20" xfId="0" applyFont="1" applyFill="1" applyBorder="1" applyAlignment="1">
      <alignment horizontal="center"/>
    </xf>
    <xf numFmtId="0" fontId="6" fillId="10" borderId="20" xfId="0" applyFont="1" applyFill="1" applyBorder="1" applyAlignment="1">
      <alignment horizontal="center"/>
    </xf>
    <xf numFmtId="0" fontId="2" fillId="0" borderId="0" xfId="0" applyFont="1" applyFill="1" applyProtection="1"/>
    <xf numFmtId="0" fontId="2" fillId="0" borderId="0" xfId="0" applyFont="1" applyFill="1" applyAlignment="1" applyProtection="1">
      <alignment horizontal="center" vertical="center"/>
    </xf>
    <xf numFmtId="0" fontId="2" fillId="8" borderId="0" xfId="0" applyFont="1" applyFill="1" applyBorder="1" applyAlignment="1" applyProtection="1">
      <alignment vertical="center"/>
    </xf>
    <xf numFmtId="0" fontId="2" fillId="0" borderId="0" xfId="0" applyFont="1" applyFill="1" applyBorder="1" applyAlignment="1" applyProtection="1">
      <alignment vertical="center"/>
    </xf>
    <xf numFmtId="0" fontId="3" fillId="2" borderId="0" xfId="0" applyFont="1" applyFill="1" applyAlignment="1">
      <alignment horizontal="left" vertical="center"/>
    </xf>
    <xf numFmtId="0" fontId="1" fillId="2" borderId="0" xfId="0" applyFont="1" applyFill="1" applyAlignment="1">
      <alignment horizontal="left" vertical="top" wrapText="1"/>
    </xf>
    <xf numFmtId="0" fontId="1" fillId="2" borderId="13" xfId="0" applyFont="1" applyFill="1" applyBorder="1" applyAlignment="1">
      <alignment horizontal="left" vertical="top" wrapText="1"/>
    </xf>
    <xf numFmtId="0" fontId="6" fillId="5" borderId="8" xfId="0" applyFont="1" applyFill="1" applyBorder="1" applyAlignment="1">
      <alignment horizontal="center" vertical="top"/>
    </xf>
    <xf numFmtId="0" fontId="6" fillId="5" borderId="5" xfId="0" applyFont="1" applyFill="1" applyBorder="1" applyAlignment="1">
      <alignment horizontal="center" vertical="top"/>
    </xf>
    <xf numFmtId="0" fontId="6" fillId="5" borderId="12" xfId="0" applyFont="1" applyFill="1" applyBorder="1" applyAlignment="1">
      <alignment horizontal="center" vertical="top"/>
    </xf>
    <xf numFmtId="0" fontId="6" fillId="5" borderId="9" xfId="0" applyFont="1" applyFill="1" applyBorder="1" applyAlignment="1">
      <alignment horizontal="center" vertical="top"/>
    </xf>
    <xf numFmtId="0" fontId="6" fillId="5" borderId="10" xfId="0" applyFont="1" applyFill="1" applyBorder="1" applyAlignment="1">
      <alignment horizontal="center" vertical="top"/>
    </xf>
    <xf numFmtId="0" fontId="6" fillId="5" borderId="0" xfId="0" applyFont="1" applyFill="1" applyAlignment="1">
      <alignment horizontal="center" vertical="top"/>
    </xf>
    <xf numFmtId="0" fontId="6" fillId="5" borderId="11" xfId="0" applyFont="1" applyFill="1" applyBorder="1" applyAlignment="1">
      <alignment horizontal="center" vertical="top"/>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0"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0" xfId="0" applyFont="1" applyFill="1" applyAlignment="1">
      <alignment horizontal="center" vertical="center"/>
    </xf>
    <xf numFmtId="0" fontId="6" fillId="5" borderId="11" xfId="0" applyFont="1" applyFill="1" applyBorder="1" applyAlignment="1">
      <alignment horizontal="center" vertical="center"/>
    </xf>
    <xf numFmtId="0" fontId="6" fillId="5" borderId="22" xfId="0" applyFont="1" applyFill="1" applyBorder="1" applyAlignment="1">
      <alignment horizontal="right" vertical="top"/>
    </xf>
    <xf numFmtId="0" fontId="6" fillId="5" borderId="23" xfId="0" applyFont="1" applyFill="1" applyBorder="1" applyAlignment="1">
      <alignment horizontal="right" vertical="top"/>
    </xf>
    <xf numFmtId="0" fontId="6" fillId="5" borderId="21" xfId="0" applyFont="1" applyFill="1" applyBorder="1" applyAlignment="1">
      <alignment horizontal="right" vertical="top"/>
    </xf>
    <xf numFmtId="0" fontId="7" fillId="7" borderId="5" xfId="0" applyFont="1" applyFill="1" applyBorder="1" applyAlignment="1">
      <alignment horizontal="left" vertical="center"/>
    </xf>
    <xf numFmtId="0" fontId="7" fillId="7" borderId="0" xfId="0" applyFont="1" applyFill="1" applyAlignment="1">
      <alignment horizontal="left" vertical="center"/>
    </xf>
    <xf numFmtId="0" fontId="7" fillId="7" borderId="11" xfId="0" applyFont="1" applyFill="1" applyBorder="1" applyAlignment="1">
      <alignment horizontal="left" vertical="center"/>
    </xf>
    <xf numFmtId="0" fontId="7" fillId="7" borderId="12" xfId="0" applyFont="1" applyFill="1" applyBorder="1" applyAlignment="1">
      <alignment horizontal="left" vertical="center"/>
    </xf>
    <xf numFmtId="0" fontId="7" fillId="7" borderId="13" xfId="0" applyFont="1" applyFill="1" applyBorder="1" applyAlignment="1">
      <alignment horizontal="left" vertical="center"/>
    </xf>
    <xf numFmtId="0" fontId="7" fillId="7" borderId="14" xfId="0" applyFont="1" applyFill="1" applyBorder="1" applyAlignment="1">
      <alignment horizontal="left" vertical="center"/>
    </xf>
    <xf numFmtId="0" fontId="7" fillId="5" borderId="8"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7" fillId="5" borderId="8" xfId="0" applyFont="1" applyFill="1" applyBorder="1" applyAlignment="1">
      <alignment horizontal="left" vertical="center"/>
    </xf>
    <xf numFmtId="0" fontId="7" fillId="5" borderId="9" xfId="0" applyFont="1" applyFill="1" applyBorder="1" applyAlignment="1">
      <alignment horizontal="left" vertical="center"/>
    </xf>
    <xf numFmtId="0" fontId="7" fillId="5" borderId="10" xfId="0" applyFont="1" applyFill="1" applyBorder="1" applyAlignment="1">
      <alignment horizontal="left" vertical="center"/>
    </xf>
    <xf numFmtId="0" fontId="7" fillId="5" borderId="5" xfId="0" applyFont="1" applyFill="1" applyBorder="1" applyAlignment="1">
      <alignment horizontal="left" vertical="center"/>
    </xf>
    <xf numFmtId="0" fontId="7" fillId="5" borderId="0" xfId="0" applyFont="1" applyFill="1" applyAlignment="1">
      <alignment horizontal="left" vertical="center"/>
    </xf>
    <xf numFmtId="0" fontId="7" fillId="5" borderId="11" xfId="0" applyFont="1" applyFill="1" applyBorder="1" applyAlignment="1">
      <alignment horizontal="left" vertical="center"/>
    </xf>
    <xf numFmtId="0" fontId="7" fillId="5" borderId="12" xfId="0" applyFont="1" applyFill="1" applyBorder="1" applyAlignment="1">
      <alignment horizontal="left" vertical="center"/>
    </xf>
    <xf numFmtId="0" fontId="7" fillId="5" borderId="13" xfId="0" applyFont="1" applyFill="1" applyBorder="1" applyAlignment="1">
      <alignment horizontal="left" vertical="center"/>
    </xf>
    <xf numFmtId="0" fontId="7" fillId="5" borderId="14" xfId="0" applyFont="1" applyFill="1" applyBorder="1" applyAlignment="1">
      <alignment horizontal="left" vertical="center"/>
    </xf>
    <xf numFmtId="0" fontId="7" fillId="7" borderId="8" xfId="0" applyFont="1" applyFill="1" applyBorder="1" applyAlignment="1">
      <alignment horizontal="left" vertical="center"/>
    </xf>
    <xf numFmtId="0" fontId="7" fillId="7" borderId="9" xfId="0" applyFont="1" applyFill="1" applyBorder="1" applyAlignment="1">
      <alignment horizontal="left" vertical="center"/>
    </xf>
    <xf numFmtId="0" fontId="7" fillId="7" borderId="10" xfId="0" applyFont="1" applyFill="1" applyBorder="1" applyAlignment="1">
      <alignment horizontal="left" vertical="center"/>
    </xf>
    <xf numFmtId="0" fontId="6" fillId="5" borderId="8"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6" fillId="7" borderId="21" xfId="0" applyFont="1" applyFill="1" applyBorder="1" applyAlignment="1">
      <alignment horizontal="left" vertical="center"/>
    </xf>
    <xf numFmtId="0" fontId="6" fillId="7" borderId="22" xfId="0" applyFont="1" applyFill="1" applyBorder="1" applyAlignment="1">
      <alignment horizontal="left" vertical="center"/>
    </xf>
    <xf numFmtId="0" fontId="6" fillId="5" borderId="21" xfId="0" applyFont="1" applyFill="1" applyBorder="1" applyAlignment="1">
      <alignment horizontal="left" vertical="center"/>
    </xf>
    <xf numFmtId="0" fontId="6" fillId="5" borderId="22" xfId="0" applyFont="1" applyFill="1" applyBorder="1" applyAlignment="1">
      <alignment horizontal="left" vertical="center"/>
    </xf>
    <xf numFmtId="0" fontId="6" fillId="5" borderId="23" xfId="0" applyFont="1" applyFill="1" applyBorder="1" applyAlignment="1">
      <alignment horizontal="left" vertical="center"/>
    </xf>
    <xf numFmtId="0" fontId="6" fillId="5" borderId="8" xfId="0" applyFont="1" applyFill="1" applyBorder="1" applyAlignment="1">
      <alignment horizontal="left" vertical="center"/>
    </xf>
    <xf numFmtId="0" fontId="6" fillId="5" borderId="9" xfId="0" applyFont="1" applyFill="1" applyBorder="1" applyAlignment="1">
      <alignment horizontal="left" vertical="center"/>
    </xf>
    <xf numFmtId="0" fontId="6" fillId="5" borderId="10" xfId="0" applyFont="1" applyFill="1" applyBorder="1" applyAlignment="1">
      <alignment horizontal="left" vertical="center"/>
    </xf>
    <xf numFmtId="0" fontId="2" fillId="2" borderId="5" xfId="0" applyFont="1" applyFill="1" applyBorder="1" applyAlignment="1">
      <alignment horizontal="left" vertical="center" wrapText="1"/>
    </xf>
    <xf numFmtId="0" fontId="2" fillId="2" borderId="0" xfId="0" applyFont="1" applyFill="1" applyAlignment="1">
      <alignment horizontal="left" vertical="center" wrapText="1"/>
    </xf>
    <xf numFmtId="0" fontId="1" fillId="2" borderId="5"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1" xfId="0" applyFont="1" applyFill="1" applyBorder="1" applyAlignment="1">
      <alignment horizontal="center" vertical="center" wrapText="1"/>
    </xf>
    <xf numFmtId="0" fontId="1" fillId="2" borderId="21" xfId="0" applyFont="1" applyFill="1" applyBorder="1" applyAlignment="1">
      <alignment horizontal="left" vertical="center" wrapText="1"/>
    </xf>
    <xf numFmtId="0" fontId="1" fillId="2" borderId="22" xfId="0" applyFont="1" applyFill="1" applyBorder="1" applyAlignment="1">
      <alignment horizontal="left" vertical="center" wrapText="1"/>
    </xf>
    <xf numFmtId="0" fontId="1" fillId="2" borderId="21" xfId="0" applyFont="1" applyFill="1" applyBorder="1" applyAlignment="1">
      <alignment horizontal="center" vertical="center" wrapText="1"/>
    </xf>
    <xf numFmtId="0" fontId="1" fillId="2" borderId="22"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2" fillId="2" borderId="8" xfId="0" applyFont="1" applyFill="1" applyBorder="1" applyAlignment="1">
      <alignment horizontal="left" vertical="center" wrapText="1"/>
    </xf>
    <xf numFmtId="0" fontId="2" fillId="2" borderId="9" xfId="0" applyFont="1" applyFill="1" applyBorder="1" applyAlignment="1">
      <alignment horizontal="left"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36" xfId="0" applyFont="1" applyFill="1" applyBorder="1" applyAlignment="1">
      <alignment horizontal="center" vertical="center" wrapText="1"/>
    </xf>
    <xf numFmtId="14" fontId="2" fillId="2" borderId="1" xfId="0" applyNumberFormat="1" applyFont="1" applyFill="1" applyBorder="1" applyAlignment="1">
      <alignment horizontal="center" vertical="top"/>
    </xf>
    <xf numFmtId="14" fontId="2" fillId="2" borderId="24" xfId="0" applyNumberFormat="1" applyFont="1" applyFill="1" applyBorder="1" applyAlignment="1">
      <alignment horizontal="center" vertical="top"/>
    </xf>
    <xf numFmtId="14" fontId="2" fillId="2" borderId="4" xfId="0" applyNumberFormat="1" applyFont="1" applyFill="1" applyBorder="1" applyAlignment="1">
      <alignment horizontal="center" vertical="top"/>
    </xf>
    <xf numFmtId="14" fontId="2" fillId="2" borderId="11" xfId="0" applyNumberFormat="1" applyFont="1" applyFill="1" applyBorder="1" applyAlignment="1">
      <alignment horizontal="center" vertical="top"/>
    </xf>
    <xf numFmtId="0" fontId="2" fillId="2" borderId="5" xfId="0" applyFont="1" applyFill="1" applyBorder="1" applyAlignment="1">
      <alignment horizontal="left" vertical="top" wrapText="1"/>
    </xf>
    <xf numFmtId="0" fontId="2" fillId="2" borderId="0" xfId="0" applyFont="1" applyFill="1" applyAlignment="1">
      <alignment horizontal="left" vertical="top" wrapText="1"/>
    </xf>
    <xf numFmtId="0" fontId="2" fillId="2" borderId="12" xfId="0" applyFont="1" applyFill="1" applyBorder="1" applyAlignment="1">
      <alignment horizontal="left" vertical="top" wrapText="1"/>
    </xf>
    <xf numFmtId="0" fontId="2" fillId="2" borderId="13" xfId="0" applyFont="1" applyFill="1" applyBorder="1" applyAlignment="1">
      <alignment horizontal="left" vertical="top"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0" xfId="0" applyFont="1" applyFill="1" applyAlignment="1">
      <alignment horizontal="left" vertical="center"/>
    </xf>
    <xf numFmtId="14" fontId="2" fillId="2" borderId="1" xfId="0" applyNumberFormat="1" applyFont="1" applyFill="1" applyBorder="1" applyAlignment="1">
      <alignment horizontal="left" vertical="top"/>
    </xf>
    <xf numFmtId="14" fontId="2" fillId="2" borderId="24" xfId="0" applyNumberFormat="1" applyFont="1" applyFill="1" applyBorder="1" applyAlignment="1">
      <alignment horizontal="left" vertical="top"/>
    </xf>
    <xf numFmtId="14" fontId="2" fillId="2" borderId="4" xfId="0" applyNumberFormat="1" applyFont="1" applyFill="1" applyBorder="1" applyAlignment="1">
      <alignment horizontal="left" vertical="top"/>
    </xf>
    <xf numFmtId="14" fontId="2" fillId="2" borderId="11" xfId="0" applyNumberFormat="1" applyFont="1" applyFill="1" applyBorder="1" applyAlignment="1">
      <alignment horizontal="left" vertical="top"/>
    </xf>
    <xf numFmtId="14" fontId="2" fillId="2" borderId="7" xfId="0" applyNumberFormat="1" applyFont="1" applyFill="1" applyBorder="1" applyAlignment="1">
      <alignment horizontal="left" vertical="top"/>
    </xf>
    <xf numFmtId="14" fontId="2" fillId="2" borderId="18" xfId="0" applyNumberFormat="1" applyFont="1" applyFill="1" applyBorder="1" applyAlignment="1">
      <alignment horizontal="left" vertical="top"/>
    </xf>
    <xf numFmtId="0" fontId="1" fillId="2" borderId="32" xfId="0" applyFont="1" applyFill="1" applyBorder="1" applyAlignment="1">
      <alignment horizontal="center" vertical="center"/>
    </xf>
    <xf numFmtId="0" fontId="1" fillId="2" borderId="33" xfId="0" applyFont="1" applyFill="1" applyBorder="1" applyAlignment="1">
      <alignment horizontal="center" vertical="center"/>
    </xf>
    <xf numFmtId="0" fontId="1" fillId="2" borderId="28" xfId="0" applyFont="1" applyFill="1" applyBorder="1" applyAlignment="1">
      <alignment horizontal="center" vertical="center"/>
    </xf>
    <xf numFmtId="0" fontId="1" fillId="2" borderId="34" xfId="0" applyFont="1" applyFill="1" applyBorder="1" applyAlignment="1">
      <alignment horizontal="center" vertical="center"/>
    </xf>
    <xf numFmtId="14" fontId="2" fillId="2" borderId="50" xfId="0" applyNumberFormat="1" applyFont="1" applyFill="1" applyBorder="1" applyAlignment="1">
      <alignment horizontal="center" vertical="top"/>
    </xf>
    <xf numFmtId="14" fontId="2" fillId="2" borderId="14" xfId="0" applyNumberFormat="1" applyFont="1" applyFill="1" applyBorder="1" applyAlignment="1">
      <alignment horizontal="center" vertical="top"/>
    </xf>
    <xf numFmtId="14" fontId="2" fillId="2" borderId="7" xfId="0" applyNumberFormat="1" applyFont="1" applyFill="1" applyBorder="1" applyAlignment="1">
      <alignment horizontal="center" vertical="center"/>
    </xf>
    <xf numFmtId="14" fontId="2" fillId="2" borderId="18" xfId="0" applyNumberFormat="1" applyFont="1" applyFill="1" applyBorder="1" applyAlignment="1">
      <alignment horizontal="center" vertical="center"/>
    </xf>
    <xf numFmtId="14" fontId="1" fillId="2" borderId="41" xfId="0" applyNumberFormat="1" applyFont="1" applyFill="1" applyBorder="1" applyAlignment="1">
      <alignment horizontal="center" vertical="center"/>
    </xf>
    <xf numFmtId="14" fontId="1" fillId="2" borderId="42" xfId="0" applyNumberFormat="1" applyFont="1" applyFill="1" applyBorder="1" applyAlignment="1">
      <alignment horizontal="center" vertical="center"/>
    </xf>
    <xf numFmtId="0" fontId="1" fillId="2" borderId="42" xfId="0" applyFont="1" applyFill="1" applyBorder="1" applyAlignment="1">
      <alignment horizontal="right" vertical="center"/>
    </xf>
    <xf numFmtId="0" fontId="1" fillId="2" borderId="43" xfId="0" applyFont="1" applyFill="1" applyBorder="1" applyAlignment="1">
      <alignment horizontal="right" vertical="center"/>
    </xf>
    <xf numFmtId="0" fontId="1" fillId="2" borderId="44" xfId="0" applyFont="1" applyFill="1" applyBorder="1" applyAlignment="1">
      <alignment horizontal="right" vertical="center"/>
    </xf>
    <xf numFmtId="0" fontId="1" fillId="2" borderId="45" xfId="0" applyFont="1" applyFill="1" applyBorder="1" applyAlignment="1">
      <alignment horizontal="right" vertical="center"/>
    </xf>
    <xf numFmtId="0" fontId="1" fillId="2" borderId="0" xfId="0" applyFont="1" applyFill="1" applyAlignment="1">
      <alignment horizontal="left" vertical="center" wrapText="1"/>
    </xf>
    <xf numFmtId="0" fontId="10" fillId="2" borderId="44" xfId="0" applyFont="1" applyFill="1" applyBorder="1" applyAlignment="1">
      <alignment horizontal="center" vertical="center" wrapText="1"/>
    </xf>
    <xf numFmtId="0" fontId="10" fillId="2" borderId="43" xfId="0" applyFont="1" applyFill="1" applyBorder="1" applyAlignment="1">
      <alignment horizontal="center" vertical="center" wrapText="1"/>
    </xf>
    <xf numFmtId="0" fontId="1" fillId="2" borderId="44" xfId="0" applyFont="1" applyFill="1" applyBorder="1" applyAlignment="1">
      <alignment horizontal="center" vertical="center" wrapText="1"/>
    </xf>
    <xf numFmtId="0" fontId="1" fillId="2" borderId="45" xfId="0" applyFont="1" applyFill="1" applyBorder="1" applyAlignment="1">
      <alignment horizontal="center" vertical="center" wrapText="1"/>
    </xf>
    <xf numFmtId="1" fontId="2" fillId="2" borderId="26" xfId="0" applyNumberFormat="1" applyFont="1" applyFill="1" applyBorder="1" applyAlignment="1">
      <alignment horizontal="center"/>
    </xf>
    <xf numFmtId="0" fontId="2" fillId="2" borderId="21" xfId="0" applyFont="1" applyFill="1" applyBorder="1" applyAlignment="1" applyProtection="1">
      <alignment horizontal="left" vertical="center"/>
      <protection locked="0"/>
    </xf>
    <xf numFmtId="0" fontId="2" fillId="2" borderId="22" xfId="0" applyFont="1" applyFill="1" applyBorder="1" applyAlignment="1" applyProtection="1">
      <alignment horizontal="left" vertical="center"/>
      <protection locked="0"/>
    </xf>
    <xf numFmtId="0" fontId="2" fillId="2" borderId="23" xfId="0" applyFont="1" applyFill="1" applyBorder="1" applyAlignment="1" applyProtection="1">
      <alignment horizontal="left" vertical="center"/>
      <protection locked="0"/>
    </xf>
    <xf numFmtId="0" fontId="1" fillId="3" borderId="41" xfId="0" applyFont="1" applyFill="1" applyBorder="1" applyAlignment="1" applyProtection="1">
      <alignment horizontal="center" vertical="center"/>
    </xf>
    <xf numFmtId="0" fontId="1" fillId="3" borderId="42" xfId="0" applyFont="1" applyFill="1" applyBorder="1" applyAlignment="1" applyProtection="1">
      <alignment horizontal="center" vertical="center"/>
    </xf>
    <xf numFmtId="0" fontId="1" fillId="3" borderId="45" xfId="0" applyFont="1" applyFill="1" applyBorder="1" applyAlignment="1" applyProtection="1">
      <alignment horizontal="center" vertical="center"/>
    </xf>
    <xf numFmtId="0" fontId="11" fillId="2" borderId="1" xfId="0" applyFont="1" applyFill="1" applyBorder="1" applyAlignment="1" applyProtection="1">
      <alignment horizontal="center" vertical="center"/>
    </xf>
    <xf numFmtId="0" fontId="11" fillId="2" borderId="2" xfId="0" applyFont="1" applyFill="1" applyBorder="1" applyAlignment="1" applyProtection="1">
      <alignment horizontal="center" vertical="center"/>
    </xf>
    <xf numFmtId="0" fontId="1" fillId="2" borderId="2" xfId="0" applyFont="1" applyFill="1" applyBorder="1" applyAlignment="1" applyProtection="1">
      <alignment horizontal="center" vertical="center" wrapText="1"/>
    </xf>
    <xf numFmtId="0" fontId="1" fillId="2" borderId="0" xfId="0" applyFont="1" applyFill="1" applyBorder="1" applyAlignment="1" applyProtection="1">
      <alignment horizontal="center" vertical="center" wrapText="1"/>
    </xf>
    <xf numFmtId="164" fontId="2" fillId="8" borderId="0" xfId="0" applyNumberFormat="1" applyFont="1" applyFill="1" applyBorder="1" applyAlignment="1" applyProtection="1">
      <alignment horizontal="center" vertical="center"/>
    </xf>
    <xf numFmtId="0" fontId="2" fillId="2" borderId="1" xfId="0" applyFont="1" applyFill="1" applyBorder="1" applyAlignment="1" applyProtection="1">
      <alignment horizontal="center" vertical="center"/>
    </xf>
    <xf numFmtId="0" fontId="2" fillId="2" borderId="4" xfId="0" applyFont="1" applyFill="1" applyBorder="1" applyAlignment="1" applyProtection="1">
      <alignment horizontal="center" vertical="center"/>
    </xf>
    <xf numFmtId="0" fontId="2" fillId="2" borderId="50" xfId="0" applyFont="1" applyFill="1" applyBorder="1" applyAlignment="1" applyProtection="1">
      <alignment horizontal="center" vertical="center"/>
    </xf>
    <xf numFmtId="0" fontId="1" fillId="2" borderId="2" xfId="0" applyFont="1" applyFill="1" applyBorder="1" applyAlignment="1" applyProtection="1">
      <alignment horizontal="center" vertical="center"/>
    </xf>
    <xf numFmtId="0" fontId="1" fillId="2" borderId="24" xfId="0" applyFont="1" applyFill="1" applyBorder="1" applyAlignment="1" applyProtection="1">
      <alignment horizontal="center" vertical="center"/>
    </xf>
    <xf numFmtId="0" fontId="1" fillId="2" borderId="49" xfId="0" applyFont="1" applyFill="1" applyBorder="1" applyAlignment="1" applyProtection="1">
      <alignment horizontal="center" vertical="center"/>
    </xf>
    <xf numFmtId="0" fontId="1" fillId="2" borderId="3" xfId="0" applyFont="1" applyFill="1" applyBorder="1" applyAlignment="1" applyProtection="1">
      <alignment horizontal="center" vertical="center"/>
    </xf>
    <xf numFmtId="0" fontId="1" fillId="2" borderId="0" xfId="0" applyFont="1" applyFill="1" applyBorder="1" applyAlignment="1" applyProtection="1">
      <alignment horizontal="center" vertical="center"/>
    </xf>
    <xf numFmtId="0" fontId="1" fillId="2" borderId="11" xfId="0" applyFont="1" applyFill="1" applyBorder="1" applyAlignment="1" applyProtection="1">
      <alignment horizontal="center" vertical="center"/>
    </xf>
    <xf numFmtId="0" fontId="1" fillId="2" borderId="6" xfId="0" applyFont="1" applyFill="1" applyBorder="1" applyAlignment="1" applyProtection="1">
      <alignment horizontal="center" vertical="center"/>
    </xf>
    <xf numFmtId="0" fontId="1" fillId="2" borderId="39" xfId="0" applyFont="1" applyFill="1" applyBorder="1" applyAlignment="1" applyProtection="1">
      <alignment horizontal="right" vertical="center"/>
    </xf>
    <xf numFmtId="0" fontId="1" fillId="2" borderId="51" xfId="0" applyFont="1" applyFill="1" applyBorder="1" applyAlignment="1" applyProtection="1">
      <alignment horizontal="right" vertical="center"/>
    </xf>
    <xf numFmtId="0" fontId="1" fillId="2" borderId="38" xfId="0" applyFont="1" applyFill="1" applyBorder="1" applyAlignment="1" applyProtection="1">
      <alignment horizontal="right" vertical="center"/>
    </xf>
    <xf numFmtId="0" fontId="1" fillId="2" borderId="40" xfId="0" applyFont="1" applyFill="1" applyBorder="1" applyAlignment="1" applyProtection="1">
      <alignment horizontal="right" vertical="center"/>
    </xf>
    <xf numFmtId="0" fontId="1" fillId="3" borderId="44" xfId="0" applyFont="1" applyFill="1" applyBorder="1" applyAlignment="1" applyProtection="1">
      <alignment horizontal="center" vertical="center"/>
    </xf>
    <xf numFmtId="0" fontId="2" fillId="2" borderId="32" xfId="0" applyFont="1" applyFill="1" applyBorder="1" applyAlignment="1" applyProtection="1">
      <alignment horizontal="left" vertical="center"/>
      <protection locked="0"/>
    </xf>
    <xf numFmtId="0" fontId="2" fillId="2" borderId="33" xfId="0" applyFont="1" applyFill="1" applyBorder="1" applyAlignment="1" applyProtection="1">
      <alignment horizontal="left" vertical="center"/>
      <protection locked="0"/>
    </xf>
    <xf numFmtId="0" fontId="2" fillId="2" borderId="28" xfId="0" applyFont="1" applyFill="1" applyBorder="1" applyAlignment="1" applyProtection="1">
      <alignment horizontal="left" vertical="center"/>
      <protection locked="0"/>
    </xf>
    <xf numFmtId="14" fontId="2" fillId="2" borderId="31" xfId="0" applyNumberFormat="1" applyFont="1" applyFill="1" applyBorder="1" applyAlignment="1">
      <alignment horizontal="center" vertical="top"/>
    </xf>
    <xf numFmtId="14" fontId="2" fillId="2" borderId="35" xfId="0" applyNumberFormat="1" applyFont="1" applyFill="1" applyBorder="1" applyAlignment="1">
      <alignment horizontal="center" vertical="top"/>
    </xf>
    <xf numFmtId="14" fontId="2" fillId="2" borderId="37" xfId="0" applyNumberFormat="1" applyFont="1" applyFill="1" applyBorder="1" applyAlignment="1">
      <alignment horizontal="center" vertical="top"/>
    </xf>
  </cellXfs>
  <cellStyles count="1">
    <cellStyle name="Normal" xfId="0" builtinId="0"/>
  </cellStyles>
  <dxfs count="1">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EW%20O%20DRIVE/Management/IBMP/Documents/Biweekly%20Report/2022/BiWeeklyReportSummar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weekly Report"/>
      <sheetName val="Harvest"/>
      <sheetName val="Capture and Consignment"/>
      <sheetName val="Gardiner Basin Counts"/>
      <sheetName val="Testing Summary"/>
      <sheetName val="ALL Trapside Data"/>
      <sheetName val="Shipping Class"/>
      <sheetName val="Biweekly Report Summary (2)"/>
    </sheetNames>
    <sheetDataSet>
      <sheetData sheetId="0"/>
      <sheetData sheetId="1"/>
      <sheetData sheetId="2"/>
      <sheetData sheetId="3"/>
      <sheetData sheetId="4">
        <row r="5">
          <cell r="A5">
            <v>44613</v>
          </cell>
          <cell r="B5">
            <v>0</v>
          </cell>
          <cell r="C5">
            <v>0</v>
          </cell>
          <cell r="D5">
            <v>2</v>
          </cell>
          <cell r="E5">
            <v>3</v>
          </cell>
          <cell r="F5">
            <v>0</v>
          </cell>
          <cell r="G5">
            <v>0</v>
          </cell>
          <cell r="H5">
            <v>0</v>
          </cell>
          <cell r="I5">
            <v>0</v>
          </cell>
          <cell r="J5">
            <v>0</v>
          </cell>
          <cell r="K5">
            <v>1</v>
          </cell>
          <cell r="L5">
            <v>1</v>
          </cell>
          <cell r="M5">
            <v>2</v>
          </cell>
        </row>
        <row r="6">
          <cell r="A6" t="str">
            <v/>
          </cell>
          <cell r="B6">
            <v>0</v>
          </cell>
          <cell r="C6">
            <v>0</v>
          </cell>
          <cell r="D6">
            <v>0</v>
          </cell>
          <cell r="E6">
            <v>0</v>
          </cell>
        </row>
        <row r="7">
          <cell r="A7"/>
          <cell r="B7">
            <v>0</v>
          </cell>
          <cell r="C7">
            <v>0</v>
          </cell>
          <cell r="D7">
            <v>0</v>
          </cell>
          <cell r="E7">
            <v>0</v>
          </cell>
        </row>
        <row r="8">
          <cell r="A8"/>
          <cell r="B8">
            <v>0</v>
          </cell>
          <cell r="C8">
            <v>0</v>
          </cell>
          <cell r="D8">
            <v>0</v>
          </cell>
          <cell r="E8">
            <v>0</v>
          </cell>
        </row>
        <row r="9">
          <cell r="A9"/>
          <cell r="B9">
            <v>0</v>
          </cell>
          <cell r="C9">
            <v>0</v>
          </cell>
          <cell r="D9">
            <v>0</v>
          </cell>
          <cell r="E9">
            <v>0</v>
          </cell>
        </row>
        <row r="10">
          <cell r="A10"/>
          <cell r="B10">
            <v>0</v>
          </cell>
          <cell r="C10">
            <v>0</v>
          </cell>
          <cell r="D10">
            <v>0</v>
          </cell>
          <cell r="E10">
            <v>0</v>
          </cell>
        </row>
        <row r="11">
          <cell r="A11"/>
          <cell r="B11">
            <v>0</v>
          </cell>
          <cell r="C11">
            <v>0</v>
          </cell>
          <cell r="D11">
            <v>0</v>
          </cell>
          <cell r="E11">
            <v>0</v>
          </cell>
        </row>
        <row r="12">
          <cell r="A12"/>
          <cell r="B12">
            <v>0</v>
          </cell>
          <cell r="C12">
            <v>0</v>
          </cell>
          <cell r="D12">
            <v>0</v>
          </cell>
          <cell r="E12">
            <v>0</v>
          </cell>
        </row>
        <row r="13">
          <cell r="A13"/>
          <cell r="B13">
            <v>0</v>
          </cell>
          <cell r="C13">
            <v>0</v>
          </cell>
          <cell r="D13">
            <v>0</v>
          </cell>
          <cell r="E13">
            <v>0</v>
          </cell>
        </row>
        <row r="14">
          <cell r="A14"/>
          <cell r="B14">
            <v>0</v>
          </cell>
          <cell r="C14">
            <v>0</v>
          </cell>
          <cell r="D14">
            <v>0</v>
          </cell>
          <cell r="E14">
            <v>0</v>
          </cell>
        </row>
        <row r="15">
          <cell r="A15"/>
          <cell r="B15">
            <v>0</v>
          </cell>
          <cell r="C15">
            <v>0</v>
          </cell>
          <cell r="D15">
            <v>0</v>
          </cell>
          <cell r="E15">
            <v>0</v>
          </cell>
        </row>
        <row r="16">
          <cell r="A16"/>
          <cell r="B16">
            <v>0</v>
          </cell>
          <cell r="C16">
            <v>0</v>
          </cell>
          <cell r="D16">
            <v>0</v>
          </cell>
          <cell r="E16">
            <v>0</v>
          </cell>
        </row>
      </sheetData>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391AC-66BE-41D1-8E1B-D8511C754E73}">
  <sheetPr codeName="Sheet1"/>
  <dimension ref="A1:R84"/>
  <sheetViews>
    <sheetView tabSelected="1" view="pageLayout" topLeftCell="A4" zoomScale="90" zoomScaleNormal="100" zoomScalePageLayoutView="90" workbookViewId="0">
      <selection activeCell="Q29" sqref="Q29"/>
    </sheetView>
  </sheetViews>
  <sheetFormatPr defaultColWidth="8.85546875" defaultRowHeight="14.45"/>
  <cols>
    <col min="1" max="1" width="5.7109375" style="34" customWidth="1"/>
    <col min="2" max="2" width="11" customWidth="1"/>
    <col min="3" max="3" width="12.28515625" customWidth="1"/>
    <col min="4" max="5" width="6.140625" customWidth="1"/>
    <col min="6" max="17" width="4.42578125" customWidth="1"/>
    <col min="18" max="18" width="5.7109375" style="34" customWidth="1"/>
  </cols>
  <sheetData>
    <row r="1" spans="1:18" ht="17.45">
      <c r="B1" s="181" t="s">
        <v>0</v>
      </c>
      <c r="C1" s="181"/>
      <c r="D1" s="181"/>
      <c r="E1" s="181"/>
      <c r="F1" s="181"/>
      <c r="G1" s="181"/>
      <c r="H1" s="181"/>
      <c r="I1" s="181"/>
      <c r="J1" s="181"/>
      <c r="K1" s="181"/>
      <c r="L1" s="181"/>
      <c r="M1" s="181"/>
      <c r="N1" s="181"/>
      <c r="O1" s="181"/>
      <c r="P1" s="181"/>
      <c r="Q1" s="181"/>
      <c r="R1" s="167"/>
    </row>
    <row r="2" spans="1:18">
      <c r="B2" s="34"/>
      <c r="C2" s="4"/>
      <c r="D2" s="4"/>
      <c r="E2" s="34"/>
      <c r="F2" s="34"/>
      <c r="G2" s="34"/>
      <c r="H2" s="34"/>
      <c r="I2" s="34"/>
      <c r="J2" s="34"/>
      <c r="K2" s="34"/>
      <c r="L2" s="34"/>
      <c r="M2" s="34"/>
      <c r="N2" s="34"/>
      <c r="O2" s="34"/>
      <c r="P2" s="34"/>
      <c r="Q2" s="34"/>
    </row>
    <row r="3" spans="1:18" ht="14.45" customHeight="1">
      <c r="B3" s="182" t="s">
        <v>1</v>
      </c>
      <c r="C3" s="182"/>
      <c r="D3" s="182"/>
      <c r="E3" s="182"/>
      <c r="F3" s="182"/>
      <c r="G3" s="182"/>
      <c r="H3" s="182"/>
      <c r="I3" s="182"/>
      <c r="J3" s="182"/>
      <c r="K3" s="182"/>
      <c r="L3" s="182"/>
      <c r="M3" s="182"/>
      <c r="N3" s="182"/>
      <c r="O3" s="182"/>
      <c r="P3" s="182"/>
      <c r="Q3" s="182"/>
      <c r="R3" s="168"/>
    </row>
    <row r="4" spans="1:18">
      <c r="B4" s="182"/>
      <c r="C4" s="182"/>
      <c r="D4" s="182"/>
      <c r="E4" s="182"/>
      <c r="F4" s="182"/>
      <c r="G4" s="182"/>
      <c r="H4" s="182"/>
      <c r="I4" s="182"/>
      <c r="J4" s="182"/>
      <c r="K4" s="182"/>
      <c r="L4" s="182"/>
      <c r="M4" s="182"/>
      <c r="N4" s="182"/>
      <c r="O4" s="182"/>
      <c r="P4" s="182"/>
      <c r="Q4" s="182"/>
      <c r="R4" s="168"/>
    </row>
    <row r="5" spans="1:18">
      <c r="B5" s="182"/>
      <c r="C5" s="182"/>
      <c r="D5" s="182"/>
      <c r="E5" s="182"/>
      <c r="F5" s="182"/>
      <c r="G5" s="182"/>
      <c r="H5" s="182"/>
      <c r="I5" s="182"/>
      <c r="J5" s="182"/>
      <c r="K5" s="182"/>
      <c r="L5" s="182"/>
      <c r="M5" s="182"/>
      <c r="N5" s="182"/>
      <c r="O5" s="182"/>
      <c r="P5" s="182"/>
      <c r="Q5" s="182"/>
      <c r="R5" s="168"/>
    </row>
    <row r="6" spans="1:18">
      <c r="B6" s="183"/>
      <c r="C6" s="183"/>
      <c r="D6" s="183"/>
      <c r="E6" s="183"/>
      <c r="F6" s="183"/>
      <c r="G6" s="183"/>
      <c r="H6" s="183"/>
      <c r="I6" s="183"/>
      <c r="J6" s="183"/>
      <c r="K6" s="183"/>
      <c r="L6" s="183"/>
      <c r="M6" s="183"/>
      <c r="N6" s="183"/>
      <c r="O6" s="183"/>
      <c r="P6" s="183"/>
      <c r="Q6" s="183"/>
      <c r="R6" s="168"/>
    </row>
    <row r="7" spans="1:18" ht="18" customHeight="1">
      <c r="B7" s="184" t="s">
        <v>2</v>
      </c>
      <c r="C7" s="184" t="s">
        <v>3</v>
      </c>
      <c r="D7" s="187"/>
      <c r="E7" s="188"/>
      <c r="F7" s="191" t="s">
        <v>4</v>
      </c>
      <c r="G7" s="192"/>
      <c r="H7" s="192"/>
      <c r="I7" s="192"/>
      <c r="J7" s="192"/>
      <c r="K7" s="193"/>
      <c r="L7" s="191" t="s">
        <v>5</v>
      </c>
      <c r="M7" s="192"/>
      <c r="N7" s="192"/>
      <c r="O7" s="192"/>
      <c r="P7" s="192"/>
      <c r="Q7" s="193"/>
      <c r="R7" s="35"/>
    </row>
    <row r="8" spans="1:18" ht="18" customHeight="1">
      <c r="B8" s="185"/>
      <c r="C8" s="185"/>
      <c r="D8" s="189"/>
      <c r="E8" s="190"/>
      <c r="F8" s="194" t="s">
        <v>6</v>
      </c>
      <c r="G8" s="195"/>
      <c r="H8" s="195" t="s">
        <v>7</v>
      </c>
      <c r="I8" s="195"/>
      <c r="J8" s="195" t="s">
        <v>8</v>
      </c>
      <c r="K8" s="196"/>
      <c r="L8" s="194" t="s">
        <v>6</v>
      </c>
      <c r="M8" s="195"/>
      <c r="N8" s="195" t="s">
        <v>7</v>
      </c>
      <c r="O8" s="195"/>
      <c r="P8" s="195" t="s">
        <v>8</v>
      </c>
      <c r="Q8" s="196"/>
      <c r="R8" s="35"/>
    </row>
    <row r="9" spans="1:18" ht="18" customHeight="1">
      <c r="B9" s="186"/>
      <c r="C9" s="185"/>
      <c r="D9" s="189"/>
      <c r="E9" s="190"/>
      <c r="F9" s="166" t="s">
        <v>9</v>
      </c>
      <c r="G9" s="36" t="s">
        <v>10</v>
      </c>
      <c r="H9" s="36" t="s">
        <v>9</v>
      </c>
      <c r="I9" s="36" t="s">
        <v>10</v>
      </c>
      <c r="J9" s="36" t="s">
        <v>8</v>
      </c>
      <c r="K9" s="36" t="s">
        <v>11</v>
      </c>
      <c r="L9" s="166" t="s">
        <v>9</v>
      </c>
      <c r="M9" s="36" t="s">
        <v>10</v>
      </c>
      <c r="N9" s="36" t="s">
        <v>9</v>
      </c>
      <c r="O9" s="36" t="s">
        <v>10</v>
      </c>
      <c r="P9" s="36" t="s">
        <v>8</v>
      </c>
      <c r="Q9" s="37" t="s">
        <v>11</v>
      </c>
      <c r="R9" s="38"/>
    </row>
    <row r="10" spans="1:18" s="44" customFormat="1" ht="18" customHeight="1">
      <c r="A10" s="39"/>
      <c r="B10" s="206" t="s">
        <v>12</v>
      </c>
      <c r="C10" s="218" t="s">
        <v>13</v>
      </c>
      <c r="D10" s="219"/>
      <c r="E10" s="220"/>
      <c r="F10" s="40">
        <v>1</v>
      </c>
      <c r="G10" s="40">
        <v>0</v>
      </c>
      <c r="H10" s="40">
        <f>Harvest!D6</f>
        <v>0</v>
      </c>
      <c r="I10" s="40">
        <v>0</v>
      </c>
      <c r="J10" s="40">
        <f>Harvest!E6</f>
        <v>0</v>
      </c>
      <c r="K10" s="40">
        <f>Harvest!F6</f>
        <v>0</v>
      </c>
      <c r="L10" s="41">
        <f>Harvest!G6</f>
        <v>1</v>
      </c>
      <c r="M10" s="40">
        <v>0</v>
      </c>
      <c r="N10" s="40">
        <f>Harvest!H6</f>
        <v>0</v>
      </c>
      <c r="O10" s="40">
        <v>0</v>
      </c>
      <c r="P10" s="40">
        <f>Harvest!I6</f>
        <v>0</v>
      </c>
      <c r="Q10" s="42">
        <f>Harvest!J6</f>
        <v>0</v>
      </c>
      <c r="R10" s="43"/>
    </row>
    <row r="11" spans="1:18" s="44" customFormat="1" ht="18" customHeight="1">
      <c r="A11" s="39"/>
      <c r="B11" s="207"/>
      <c r="C11" s="200" t="s">
        <v>14</v>
      </c>
      <c r="D11" s="201"/>
      <c r="E11" s="202" t="s">
        <v>14</v>
      </c>
      <c r="F11" s="40">
        <f>Harvest!C7</f>
        <v>0</v>
      </c>
      <c r="G11" s="40">
        <v>0</v>
      </c>
      <c r="H11" s="40">
        <f>Harvest!D7</f>
        <v>0</v>
      </c>
      <c r="I11" s="40">
        <v>0</v>
      </c>
      <c r="J11" s="40">
        <f>Harvest!E7</f>
        <v>0</v>
      </c>
      <c r="K11" s="40">
        <f>Harvest!F7</f>
        <v>0</v>
      </c>
      <c r="L11" s="41">
        <f>Harvest!G7</f>
        <v>0</v>
      </c>
      <c r="M11" s="40">
        <v>0</v>
      </c>
      <c r="N11" s="40">
        <f>Harvest!H7</f>
        <v>0</v>
      </c>
      <c r="O11" s="40">
        <v>0</v>
      </c>
      <c r="P11" s="40">
        <f>Harvest!I7</f>
        <v>0</v>
      </c>
      <c r="Q11" s="42">
        <f>Harvest!J7</f>
        <v>0</v>
      </c>
      <c r="R11" s="43"/>
    </row>
    <row r="12" spans="1:18" s="44" customFormat="1" ht="18" customHeight="1">
      <c r="A12" s="39"/>
      <c r="B12" s="207"/>
      <c r="C12" s="200" t="s">
        <v>15</v>
      </c>
      <c r="D12" s="201"/>
      <c r="E12" s="202" t="s">
        <v>15</v>
      </c>
      <c r="F12" s="40">
        <f>Harvest!C8</f>
        <v>1</v>
      </c>
      <c r="G12" s="40">
        <v>0</v>
      </c>
      <c r="H12" s="40">
        <f>Harvest!D8</f>
        <v>0</v>
      </c>
      <c r="I12" s="40">
        <v>0</v>
      </c>
      <c r="J12" s="40">
        <f>Harvest!E8</f>
        <v>0</v>
      </c>
      <c r="K12" s="40">
        <f>Harvest!F8</f>
        <v>0</v>
      </c>
      <c r="L12" s="41">
        <f>Harvest!G8</f>
        <v>0</v>
      </c>
      <c r="M12" s="40">
        <v>0</v>
      </c>
      <c r="N12" s="40">
        <f>Harvest!H8</f>
        <v>0</v>
      </c>
      <c r="O12" s="40">
        <v>0</v>
      </c>
      <c r="P12" s="40">
        <f>Harvest!I8</f>
        <v>0</v>
      </c>
      <c r="Q12" s="42">
        <f>Harvest!J8</f>
        <v>0</v>
      </c>
      <c r="R12" s="43"/>
    </row>
    <row r="13" spans="1:18" s="44" customFormat="1" ht="18" customHeight="1">
      <c r="A13" s="39"/>
      <c r="B13" s="207"/>
      <c r="C13" s="200" t="s">
        <v>16</v>
      </c>
      <c r="D13" s="201"/>
      <c r="E13" s="202" t="s">
        <v>16</v>
      </c>
      <c r="F13" s="40">
        <f>Harvest!C9</f>
        <v>1</v>
      </c>
      <c r="G13" s="40">
        <v>0</v>
      </c>
      <c r="H13" s="40">
        <f>Harvest!D9</f>
        <v>0</v>
      </c>
      <c r="I13" s="40">
        <v>0</v>
      </c>
      <c r="J13" s="40">
        <f>Harvest!E9</f>
        <v>0</v>
      </c>
      <c r="K13" s="40">
        <f>Harvest!F9</f>
        <v>0</v>
      </c>
      <c r="L13" s="41">
        <f>Harvest!G9</f>
        <v>0</v>
      </c>
      <c r="M13" s="40">
        <v>0</v>
      </c>
      <c r="N13" s="40">
        <f>Harvest!H9</f>
        <v>0</v>
      </c>
      <c r="O13" s="40">
        <v>0</v>
      </c>
      <c r="P13" s="40">
        <f>Harvest!I9</f>
        <v>0</v>
      </c>
      <c r="Q13" s="42">
        <f>Harvest!J9</f>
        <v>0</v>
      </c>
      <c r="R13" s="43"/>
    </row>
    <row r="14" spans="1:18" s="44" customFormat="1" ht="18" customHeight="1">
      <c r="A14" s="39"/>
      <c r="B14" s="207"/>
      <c r="C14" s="200" t="s">
        <v>17</v>
      </c>
      <c r="D14" s="201"/>
      <c r="E14" s="202" t="s">
        <v>17</v>
      </c>
      <c r="F14" s="40">
        <f>Harvest!C10</f>
        <v>0</v>
      </c>
      <c r="G14" s="40">
        <v>0</v>
      </c>
      <c r="H14" s="40">
        <f>Harvest!D10</f>
        <v>0</v>
      </c>
      <c r="I14" s="40">
        <v>0</v>
      </c>
      <c r="J14" s="40">
        <f>Harvest!E10</f>
        <v>0</v>
      </c>
      <c r="K14" s="40">
        <f>Harvest!F10</f>
        <v>0</v>
      </c>
      <c r="L14" s="41">
        <f>Harvest!G10</f>
        <v>0</v>
      </c>
      <c r="M14" s="40">
        <v>0</v>
      </c>
      <c r="N14" s="40">
        <f>Harvest!H10</f>
        <v>0</v>
      </c>
      <c r="O14" s="40">
        <v>0</v>
      </c>
      <c r="P14" s="40">
        <f>Harvest!I10</f>
        <v>0</v>
      </c>
      <c r="Q14" s="42">
        <f>Harvest!J10</f>
        <v>0</v>
      </c>
      <c r="R14" s="43"/>
    </row>
    <row r="15" spans="1:18" s="44" customFormat="1" ht="18" customHeight="1">
      <c r="A15" s="39"/>
      <c r="B15" s="207"/>
      <c r="C15" s="200" t="s">
        <v>18</v>
      </c>
      <c r="D15" s="201"/>
      <c r="E15" s="202" t="s">
        <v>18</v>
      </c>
      <c r="F15" s="40">
        <f>Harvest!C11</f>
        <v>0</v>
      </c>
      <c r="G15" s="40">
        <v>0</v>
      </c>
      <c r="H15" s="40">
        <f>Harvest!D11</f>
        <v>0</v>
      </c>
      <c r="I15" s="40">
        <v>0</v>
      </c>
      <c r="J15" s="40">
        <f>Harvest!E11</f>
        <v>0</v>
      </c>
      <c r="K15" s="40">
        <f>Harvest!F11</f>
        <v>0</v>
      </c>
      <c r="L15" s="41">
        <f>Harvest!G11</f>
        <v>0</v>
      </c>
      <c r="M15" s="40">
        <v>0</v>
      </c>
      <c r="N15" s="40">
        <f>Harvest!H11</f>
        <v>0</v>
      </c>
      <c r="O15" s="40">
        <v>0</v>
      </c>
      <c r="P15" s="40">
        <f>Harvest!I11</f>
        <v>0</v>
      </c>
      <c r="Q15" s="42">
        <f>Harvest!J11</f>
        <v>0</v>
      </c>
      <c r="R15" s="43"/>
    </row>
    <row r="16" spans="1:18" s="44" customFormat="1" ht="18" customHeight="1">
      <c r="A16" s="39"/>
      <c r="B16" s="207"/>
      <c r="C16" s="200" t="s">
        <v>19</v>
      </c>
      <c r="D16" s="201"/>
      <c r="E16" s="202" t="s">
        <v>19</v>
      </c>
      <c r="F16" s="40">
        <f>Harvest!C12</f>
        <v>0</v>
      </c>
      <c r="G16" s="40">
        <v>0</v>
      </c>
      <c r="H16" s="40">
        <f>Harvest!D12</f>
        <v>0</v>
      </c>
      <c r="I16" s="40">
        <v>0</v>
      </c>
      <c r="J16" s="40">
        <f>Harvest!E12</f>
        <v>0</v>
      </c>
      <c r="K16" s="40">
        <f>Harvest!F12</f>
        <v>0</v>
      </c>
      <c r="L16" s="41">
        <f>Harvest!G12</f>
        <v>1</v>
      </c>
      <c r="M16" s="40">
        <v>0</v>
      </c>
      <c r="N16" s="40">
        <f>Harvest!H12</f>
        <v>5</v>
      </c>
      <c r="O16" s="40">
        <v>0</v>
      </c>
      <c r="P16" s="40">
        <f>Harvest!I12</f>
        <v>0</v>
      </c>
      <c r="Q16" s="42">
        <f>Harvest!J12</f>
        <v>0</v>
      </c>
      <c r="R16" s="43"/>
    </row>
    <row r="17" spans="1:18" s="44" customFormat="1" ht="18" customHeight="1">
      <c r="A17" s="39"/>
      <c r="B17" s="207"/>
      <c r="C17" s="200" t="s">
        <v>20</v>
      </c>
      <c r="D17" s="201"/>
      <c r="E17" s="202" t="s">
        <v>20</v>
      </c>
      <c r="F17" s="40">
        <f>Harvest!C13</f>
        <v>0</v>
      </c>
      <c r="G17" s="40">
        <v>0</v>
      </c>
      <c r="H17" s="40">
        <f>Harvest!D13</f>
        <v>3</v>
      </c>
      <c r="I17" s="40">
        <v>0</v>
      </c>
      <c r="J17" s="40">
        <f>Harvest!E13</f>
        <v>0</v>
      </c>
      <c r="K17" s="40">
        <f>Harvest!F13</f>
        <v>0</v>
      </c>
      <c r="L17" s="41">
        <f>Harvest!G13</f>
        <v>0</v>
      </c>
      <c r="M17" s="40">
        <v>0</v>
      </c>
      <c r="N17" s="40">
        <f>Harvest!H13</f>
        <v>0</v>
      </c>
      <c r="O17" s="40">
        <v>0</v>
      </c>
      <c r="P17" s="40">
        <f>Harvest!I13</f>
        <v>0</v>
      </c>
      <c r="Q17" s="42">
        <f>Harvest!J13</f>
        <v>0</v>
      </c>
      <c r="R17" s="43"/>
    </row>
    <row r="18" spans="1:18" s="44" customFormat="1" ht="18" customHeight="1">
      <c r="A18" s="39"/>
      <c r="B18" s="208"/>
      <c r="C18" s="203" t="s">
        <v>21</v>
      </c>
      <c r="D18" s="204"/>
      <c r="E18" s="205" t="s">
        <v>21</v>
      </c>
      <c r="F18" s="40">
        <f>Harvest!C14</f>
        <v>0</v>
      </c>
      <c r="G18" s="40">
        <v>0</v>
      </c>
      <c r="H18" s="40">
        <f>Harvest!D14</f>
        <v>0</v>
      </c>
      <c r="I18" s="40">
        <v>0</v>
      </c>
      <c r="J18" s="40">
        <f>Harvest!E14</f>
        <v>0</v>
      </c>
      <c r="K18" s="40">
        <f>Harvest!F14</f>
        <v>0</v>
      </c>
      <c r="L18" s="41">
        <f>Harvest!G14</f>
        <v>0</v>
      </c>
      <c r="M18" s="40">
        <v>0</v>
      </c>
      <c r="N18" s="40">
        <f>Harvest!H14</f>
        <v>0</v>
      </c>
      <c r="O18" s="40">
        <v>0</v>
      </c>
      <c r="P18" s="40">
        <f>Harvest!I14</f>
        <v>0</v>
      </c>
      <c r="Q18" s="42">
        <f>Harvest!J14</f>
        <v>0</v>
      </c>
      <c r="R18" s="43"/>
    </row>
    <row r="19" spans="1:18" s="44" customFormat="1" ht="18" customHeight="1">
      <c r="A19" s="39"/>
      <c r="B19" s="206" t="s">
        <v>22</v>
      </c>
      <c r="C19" s="209" t="s">
        <v>23</v>
      </c>
      <c r="D19" s="210"/>
      <c r="E19" s="211"/>
      <c r="F19" s="45">
        <f>COUNTIFS(Trapside!F:F,"M",Trapside!G:G,"A",Trapside!P:P,"Slaughter")</f>
        <v>5</v>
      </c>
      <c r="G19" s="46">
        <f>COUNTIFS(Trapside!F:F,"M",Trapside!G:G,"Y",Trapside!P:P,"Slaughter")</f>
        <v>2</v>
      </c>
      <c r="H19" s="46">
        <f>COUNTIFS(Trapside!F:F,"F",Trapside!G:G,"A",Trapside!P:P,"Slaughter")</f>
        <v>20</v>
      </c>
      <c r="I19" s="46">
        <f>COUNTIFS(Trapside!F:F,"F",Trapside!G:G,"Y",Trapside!P:P,"Slaughter")</f>
        <v>0</v>
      </c>
      <c r="J19" s="46">
        <v>0</v>
      </c>
      <c r="K19" s="46">
        <f>COUNTIFS(Trapside!G:G,"C",Trapside!P:P,"Slaughter")</f>
        <v>0</v>
      </c>
      <c r="L19" s="45">
        <v>0</v>
      </c>
      <c r="M19" s="46">
        <v>0</v>
      </c>
      <c r="N19" s="46">
        <v>0</v>
      </c>
      <c r="O19" s="46">
        <v>0</v>
      </c>
      <c r="P19" s="46">
        <v>0</v>
      </c>
      <c r="Q19" s="47">
        <v>0</v>
      </c>
      <c r="R19" s="43"/>
    </row>
    <row r="20" spans="1:18" s="44" customFormat="1" ht="18" customHeight="1">
      <c r="A20" s="39"/>
      <c r="B20" s="207"/>
      <c r="C20" s="212" t="s">
        <v>24</v>
      </c>
      <c r="D20" s="213"/>
      <c r="E20" s="214"/>
      <c r="F20" s="48">
        <f>COUNTIFS(Trapside!F:F,"M",Trapside!G:G,"A",Trapside!P:P,"Quarantine")</f>
        <v>0</v>
      </c>
      <c r="G20" s="49">
        <f>COUNTIFS(Trapside!F:F,"M",Trapside!G:G,"Y",Trapside!P:P,"Quarantine")</f>
        <v>3</v>
      </c>
      <c r="H20" s="49">
        <f>COUNTIFS(Trapside!F:F,"F",Trapside!G:G,"A",Trapside!P:P,"Quarantine")</f>
        <v>0</v>
      </c>
      <c r="I20" s="49">
        <f>COUNTIFS(Trapside!F:F,"F",Trapside!G:G,"Y",Trapside!P:P,"Quarantine")</f>
        <v>1</v>
      </c>
      <c r="J20" s="49">
        <v>0</v>
      </c>
      <c r="K20" s="49">
        <v>6</v>
      </c>
      <c r="L20" s="48">
        <v>0</v>
      </c>
      <c r="M20" s="49">
        <v>0</v>
      </c>
      <c r="N20" s="49">
        <v>0</v>
      </c>
      <c r="O20" s="49">
        <v>0</v>
      </c>
      <c r="P20" s="49">
        <v>0</v>
      </c>
      <c r="Q20" s="50">
        <v>0</v>
      </c>
      <c r="R20" s="43"/>
    </row>
    <row r="21" spans="1:18" s="44" customFormat="1" ht="18" customHeight="1">
      <c r="A21" s="39"/>
      <c r="B21" s="207"/>
      <c r="C21" s="212" t="s">
        <v>25</v>
      </c>
      <c r="D21" s="213"/>
      <c r="E21" s="214"/>
      <c r="F21" s="48">
        <v>0</v>
      </c>
      <c r="G21" s="49">
        <v>0</v>
      </c>
      <c r="H21" s="49">
        <v>0</v>
      </c>
      <c r="I21" s="49">
        <v>0</v>
      </c>
      <c r="J21" s="49">
        <v>0</v>
      </c>
      <c r="K21" s="49">
        <v>0</v>
      </c>
      <c r="L21" s="48">
        <v>0</v>
      </c>
      <c r="M21" s="49">
        <v>0</v>
      </c>
      <c r="N21" s="49">
        <v>0</v>
      </c>
      <c r="O21" s="49">
        <v>0</v>
      </c>
      <c r="P21" s="49">
        <v>0</v>
      </c>
      <c r="Q21" s="50">
        <v>0</v>
      </c>
      <c r="R21" s="43"/>
    </row>
    <row r="22" spans="1:18" s="44" customFormat="1" ht="18" customHeight="1">
      <c r="A22" s="39"/>
      <c r="B22" s="208"/>
      <c r="C22" s="215" t="s">
        <v>26</v>
      </c>
      <c r="D22" s="216"/>
      <c r="E22" s="217"/>
      <c r="F22" s="48">
        <v>0</v>
      </c>
      <c r="G22" s="49">
        <v>0</v>
      </c>
      <c r="H22" s="49">
        <v>0</v>
      </c>
      <c r="I22" s="49">
        <v>0</v>
      </c>
      <c r="J22" s="49">
        <v>0</v>
      </c>
      <c r="K22" s="49">
        <v>0</v>
      </c>
      <c r="L22" s="48">
        <v>0</v>
      </c>
      <c r="M22" s="49">
        <v>0</v>
      </c>
      <c r="N22" s="49">
        <v>0</v>
      </c>
      <c r="O22" s="49">
        <v>0</v>
      </c>
      <c r="P22" s="49">
        <v>0</v>
      </c>
      <c r="Q22" s="50">
        <v>0</v>
      </c>
      <c r="R22" s="43"/>
    </row>
    <row r="23" spans="1:18" s="44" customFormat="1" ht="18" customHeight="1">
      <c r="A23" s="39"/>
      <c r="B23" s="221" t="s">
        <v>27</v>
      </c>
      <c r="C23" s="224" t="s">
        <v>12</v>
      </c>
      <c r="D23" s="225"/>
      <c r="E23" s="225"/>
      <c r="F23" s="51">
        <v>3</v>
      </c>
      <c r="G23" s="52">
        <f t="shared" ref="G23:Q23" si="0">SUM(G10:G18)</f>
        <v>0</v>
      </c>
      <c r="H23" s="52">
        <f t="shared" si="0"/>
        <v>3</v>
      </c>
      <c r="I23" s="52">
        <f t="shared" si="0"/>
        <v>0</v>
      </c>
      <c r="J23" s="52">
        <f t="shared" si="0"/>
        <v>0</v>
      </c>
      <c r="K23" s="53">
        <f t="shared" si="0"/>
        <v>0</v>
      </c>
      <c r="L23" s="52">
        <f t="shared" si="0"/>
        <v>2</v>
      </c>
      <c r="M23" s="52">
        <f t="shared" si="0"/>
        <v>0</v>
      </c>
      <c r="N23" s="52">
        <f t="shared" si="0"/>
        <v>5</v>
      </c>
      <c r="O23" s="52">
        <f t="shared" si="0"/>
        <v>0</v>
      </c>
      <c r="P23" s="52">
        <f t="shared" si="0"/>
        <v>0</v>
      </c>
      <c r="Q23" s="53">
        <f t="shared" si="0"/>
        <v>0</v>
      </c>
      <c r="R23" s="43"/>
    </row>
    <row r="24" spans="1:18" s="44" customFormat="1" ht="18" customHeight="1">
      <c r="A24" s="39"/>
      <c r="B24" s="222"/>
      <c r="C24" s="226" t="s">
        <v>22</v>
      </c>
      <c r="D24" s="227"/>
      <c r="E24" s="228"/>
      <c r="F24" s="54">
        <f>SUM(F19:F21)</f>
        <v>5</v>
      </c>
      <c r="G24" s="55">
        <f>SUM(G19:G21)</f>
        <v>5</v>
      </c>
      <c r="H24" s="55">
        <f>SUM(H19:H21)</f>
        <v>20</v>
      </c>
      <c r="I24" s="55">
        <f>SUM(I19:I21)</f>
        <v>1</v>
      </c>
      <c r="J24" s="55">
        <f>SUM(J19:J22)</f>
        <v>0</v>
      </c>
      <c r="K24" s="55">
        <f>SUM(K19:K21)</f>
        <v>6</v>
      </c>
      <c r="L24" s="56">
        <v>0</v>
      </c>
      <c r="M24" s="57">
        <v>0</v>
      </c>
      <c r="N24" s="57">
        <v>0</v>
      </c>
      <c r="O24" s="57">
        <v>0</v>
      </c>
      <c r="P24" s="57">
        <v>0</v>
      </c>
      <c r="Q24" s="58">
        <v>0</v>
      </c>
      <c r="R24" s="43"/>
    </row>
    <row r="25" spans="1:18" s="44" customFormat="1" ht="18" customHeight="1">
      <c r="A25" s="39"/>
      <c r="B25" s="222"/>
      <c r="C25" s="229" t="s">
        <v>28</v>
      </c>
      <c r="D25" s="230"/>
      <c r="E25" s="231"/>
      <c r="F25" s="57">
        <f t="shared" ref="F25:K25" si="1">SUM(F23:F24)</f>
        <v>8</v>
      </c>
      <c r="G25" s="57">
        <f t="shared" si="1"/>
        <v>5</v>
      </c>
      <c r="H25" s="57">
        <f t="shared" si="1"/>
        <v>23</v>
      </c>
      <c r="I25" s="57">
        <f t="shared" si="1"/>
        <v>1</v>
      </c>
      <c r="J25" s="57">
        <f t="shared" si="1"/>
        <v>0</v>
      </c>
      <c r="K25" s="57">
        <f t="shared" si="1"/>
        <v>6</v>
      </c>
      <c r="L25" s="56">
        <f>SUM(L23:L24)</f>
        <v>2</v>
      </c>
      <c r="M25" s="57">
        <f t="shared" ref="M25:Q25" si="2">SUM(M23:M24)</f>
        <v>0</v>
      </c>
      <c r="N25" s="57">
        <f t="shared" si="2"/>
        <v>5</v>
      </c>
      <c r="O25" s="57">
        <f t="shared" si="2"/>
        <v>0</v>
      </c>
      <c r="P25" s="57">
        <f t="shared" si="2"/>
        <v>0</v>
      </c>
      <c r="Q25" s="58">
        <f t="shared" si="2"/>
        <v>0</v>
      </c>
      <c r="R25" s="43"/>
    </row>
    <row r="26" spans="1:18" ht="18" customHeight="1">
      <c r="B26" s="223"/>
      <c r="C26" s="59"/>
      <c r="D26" s="60"/>
      <c r="E26" s="61"/>
      <c r="F26" s="197">
        <f>SUM(F25:K25)</f>
        <v>43</v>
      </c>
      <c r="G26" s="197"/>
      <c r="H26" s="197"/>
      <c r="I26" s="197"/>
      <c r="J26" s="197"/>
      <c r="K26" s="198"/>
      <c r="L26" s="199">
        <f>SUM(L25:Q25)</f>
        <v>7</v>
      </c>
      <c r="M26" s="197"/>
      <c r="N26" s="197"/>
      <c r="O26" s="197"/>
      <c r="P26" s="197"/>
      <c r="Q26" s="198"/>
      <c r="R26" s="62"/>
    </row>
    <row r="27" spans="1:18" ht="15.6">
      <c r="B27" s="34"/>
      <c r="C27" s="63" t="s">
        <v>29</v>
      </c>
      <c r="D27" s="63"/>
      <c r="E27" s="64"/>
      <c r="F27" s="64"/>
      <c r="G27" s="64"/>
      <c r="H27" s="64"/>
      <c r="I27" s="64"/>
      <c r="J27" s="64"/>
      <c r="K27" s="64"/>
      <c r="L27" s="65"/>
      <c r="M27" s="65"/>
      <c r="N27" s="65"/>
      <c r="O27" s="65"/>
      <c r="P27" s="65"/>
      <c r="Q27" s="65"/>
      <c r="R27" s="65"/>
    </row>
    <row r="28" spans="1:18" ht="15.6">
      <c r="B28" s="34"/>
      <c r="C28" s="63" t="s">
        <v>30</v>
      </c>
      <c r="D28" s="63"/>
      <c r="E28" s="64"/>
      <c r="F28" s="64"/>
      <c r="G28" s="64"/>
      <c r="H28" s="64"/>
      <c r="I28" s="64"/>
      <c r="J28" s="64"/>
      <c r="K28" s="64"/>
      <c r="L28" s="65"/>
      <c r="M28" s="65"/>
      <c r="N28" s="65"/>
      <c r="O28" s="65"/>
      <c r="P28" s="65"/>
      <c r="Q28" s="65"/>
      <c r="R28" s="65"/>
    </row>
    <row r="29" spans="1:18" ht="15.6">
      <c r="B29" s="34"/>
      <c r="C29" s="63" t="s">
        <v>31</v>
      </c>
      <c r="D29" s="63"/>
      <c r="E29" s="64"/>
      <c r="F29" s="64"/>
      <c r="G29" s="64"/>
      <c r="H29" s="64"/>
      <c r="I29" s="64"/>
      <c r="J29" s="64"/>
      <c r="K29" s="64"/>
      <c r="L29" s="65"/>
      <c r="M29" s="65"/>
      <c r="N29" s="65"/>
      <c r="O29" s="65"/>
      <c r="P29" s="65"/>
      <c r="Q29" s="65"/>
      <c r="R29" s="65"/>
    </row>
    <row r="30" spans="1:18" ht="15.6">
      <c r="B30" s="34"/>
      <c r="C30" s="63"/>
      <c r="D30" s="63"/>
      <c r="E30" s="64"/>
      <c r="F30" s="64"/>
      <c r="G30" s="64"/>
      <c r="H30" s="64"/>
      <c r="I30" s="64"/>
      <c r="J30" s="64"/>
      <c r="K30" s="64"/>
      <c r="L30" s="65"/>
      <c r="M30" s="65"/>
      <c r="N30" s="65"/>
      <c r="O30" s="65"/>
      <c r="P30" s="65"/>
      <c r="Q30" s="65"/>
      <c r="R30" s="65"/>
    </row>
    <row r="31" spans="1:18">
      <c r="B31" s="34"/>
      <c r="C31" s="34"/>
      <c r="D31" s="34"/>
      <c r="E31" s="34"/>
      <c r="F31" s="34"/>
      <c r="G31" s="34"/>
      <c r="H31" s="34"/>
      <c r="I31" s="34"/>
      <c r="J31" s="34"/>
      <c r="K31" s="34"/>
      <c r="L31" s="34"/>
      <c r="M31" s="34"/>
      <c r="N31" s="34"/>
      <c r="O31" s="34"/>
      <c r="P31" s="34"/>
      <c r="Q31" s="34"/>
    </row>
    <row r="32" spans="1:18">
      <c r="B32" s="34"/>
      <c r="C32" s="237" t="s">
        <v>32</v>
      </c>
      <c r="D32" s="238"/>
      <c r="E32" s="238"/>
      <c r="F32" s="238"/>
      <c r="G32" s="238"/>
      <c r="H32" s="238"/>
      <c r="I32" s="238"/>
      <c r="J32" s="238"/>
      <c r="K32" s="238"/>
      <c r="L32" s="238"/>
      <c r="M32" s="239" t="s">
        <v>27</v>
      </c>
      <c r="N32" s="240"/>
      <c r="O32" s="241"/>
      <c r="P32" s="34"/>
      <c r="Q32" s="34"/>
    </row>
    <row r="33" spans="2:17" ht="15.75" customHeight="1">
      <c r="B33" s="34"/>
      <c r="C33" s="242" t="s">
        <v>33</v>
      </c>
      <c r="D33" s="243"/>
      <c r="E33" s="243"/>
      <c r="F33" s="243"/>
      <c r="G33" s="243"/>
      <c r="H33" s="243"/>
      <c r="I33" s="243"/>
      <c r="J33" s="243"/>
      <c r="K33" s="243"/>
      <c r="L33" s="243"/>
      <c r="M33" s="244">
        <f>SUM(F19:K19)</f>
        <v>27</v>
      </c>
      <c r="N33" s="245"/>
      <c r="O33" s="246">
        <v>128</v>
      </c>
      <c r="P33" s="34"/>
      <c r="Q33" s="34"/>
    </row>
    <row r="34" spans="2:17" ht="15.75" customHeight="1">
      <c r="B34" s="34"/>
      <c r="C34" s="232" t="s">
        <v>34</v>
      </c>
      <c r="D34" s="233"/>
      <c r="E34" s="233"/>
      <c r="F34" s="233"/>
      <c r="G34" s="233"/>
      <c r="H34" s="233"/>
      <c r="I34" s="233"/>
      <c r="J34" s="233"/>
      <c r="K34" s="233"/>
      <c r="L34" s="233"/>
      <c r="M34" s="234">
        <v>0</v>
      </c>
      <c r="N34" s="235"/>
      <c r="O34" s="236">
        <v>0</v>
      </c>
      <c r="P34" s="34"/>
      <c r="Q34" s="34"/>
    </row>
    <row r="35" spans="2:17" ht="15.75" customHeight="1">
      <c r="B35" s="34"/>
      <c r="C35" s="232" t="s">
        <v>35</v>
      </c>
      <c r="D35" s="233"/>
      <c r="E35" s="233"/>
      <c r="F35" s="233"/>
      <c r="G35" s="233"/>
      <c r="H35" s="233"/>
      <c r="I35" s="233"/>
      <c r="J35" s="233"/>
      <c r="K35" s="233"/>
      <c r="L35" s="233"/>
      <c r="M35" s="234">
        <f>SUM(F20:K20)</f>
        <v>10</v>
      </c>
      <c r="N35" s="235"/>
      <c r="O35" s="236">
        <v>45</v>
      </c>
      <c r="P35" s="34"/>
      <c r="Q35" s="34"/>
    </row>
    <row r="36" spans="2:17" ht="15.75" customHeight="1">
      <c r="B36" s="34"/>
      <c r="C36" s="232" t="s">
        <v>36</v>
      </c>
      <c r="D36" s="233"/>
      <c r="E36" s="233"/>
      <c r="F36" s="233"/>
      <c r="G36" s="233"/>
      <c r="H36" s="233"/>
      <c r="I36" s="233"/>
      <c r="J36" s="233"/>
      <c r="K36" s="233"/>
      <c r="L36" s="233"/>
      <c r="M36" s="234">
        <v>0</v>
      </c>
      <c r="N36" s="235"/>
      <c r="O36" s="236">
        <v>0</v>
      </c>
      <c r="P36" s="34"/>
      <c r="Q36" s="34"/>
    </row>
    <row r="37" spans="2:17" ht="15.75" customHeight="1">
      <c r="B37" s="34"/>
      <c r="C37" s="232" t="s">
        <v>37</v>
      </c>
      <c r="D37" s="233"/>
      <c r="E37" s="233"/>
      <c r="F37" s="233"/>
      <c r="G37" s="233"/>
      <c r="H37" s="233"/>
      <c r="I37" s="233"/>
      <c r="J37" s="233"/>
      <c r="K37" s="233"/>
      <c r="L37" s="233"/>
      <c r="M37" s="234">
        <v>1</v>
      </c>
      <c r="N37" s="235"/>
      <c r="O37" s="236">
        <v>0</v>
      </c>
      <c r="P37" s="34"/>
      <c r="Q37" s="34"/>
    </row>
    <row r="38" spans="2:17" ht="15.75" customHeight="1">
      <c r="B38" s="34"/>
      <c r="C38" s="232"/>
      <c r="D38" s="233"/>
      <c r="E38" s="233"/>
      <c r="F38" s="233"/>
      <c r="G38" s="233"/>
      <c r="H38" s="233"/>
      <c r="I38" s="233"/>
      <c r="J38" s="233"/>
      <c r="K38" s="233"/>
      <c r="L38" s="233"/>
      <c r="M38" s="234"/>
      <c r="N38" s="235"/>
      <c r="O38" s="236"/>
      <c r="P38" s="34"/>
      <c r="Q38" s="34"/>
    </row>
    <row r="39" spans="2:17" ht="15.75" customHeight="1">
      <c r="B39" s="34"/>
      <c r="C39" s="254" t="s">
        <v>38</v>
      </c>
      <c r="D39" s="255"/>
      <c r="E39" s="255"/>
      <c r="F39" s="255"/>
      <c r="G39" s="255"/>
      <c r="H39" s="255"/>
      <c r="I39" s="255"/>
      <c r="J39" s="255"/>
      <c r="K39" s="255"/>
      <c r="L39" s="255"/>
      <c r="M39" s="234">
        <v>0</v>
      </c>
      <c r="N39" s="235"/>
      <c r="O39" s="236"/>
      <c r="P39" s="34"/>
      <c r="Q39" s="34"/>
    </row>
    <row r="40" spans="2:17">
      <c r="B40" s="34"/>
      <c r="C40" s="256"/>
      <c r="D40" s="257"/>
      <c r="E40" s="257"/>
      <c r="F40" s="257"/>
      <c r="G40" s="257"/>
      <c r="H40" s="257"/>
      <c r="I40" s="257"/>
      <c r="J40" s="257"/>
      <c r="K40" s="257"/>
      <c r="L40" s="257"/>
      <c r="M40" s="258"/>
      <c r="N40" s="259"/>
      <c r="O40" s="260"/>
      <c r="P40" s="34"/>
      <c r="Q40" s="34"/>
    </row>
    <row r="41" spans="2:17">
      <c r="B41" s="34"/>
      <c r="C41" s="34"/>
      <c r="D41" s="34"/>
      <c r="E41" s="34"/>
      <c r="F41" s="34"/>
      <c r="G41" s="34"/>
      <c r="H41" s="34"/>
      <c r="I41" s="34"/>
      <c r="J41" s="34"/>
      <c r="K41" s="34"/>
      <c r="L41" s="34"/>
      <c r="M41" s="34"/>
      <c r="N41" s="34"/>
      <c r="O41" s="34"/>
      <c r="P41" s="34"/>
      <c r="Q41" s="34"/>
    </row>
    <row r="42" spans="2:17">
      <c r="B42" s="34"/>
      <c r="C42" s="34"/>
      <c r="D42" s="34"/>
      <c r="E42" s="34"/>
      <c r="F42" s="34"/>
      <c r="G42" s="34"/>
      <c r="H42" s="34"/>
      <c r="I42" s="34"/>
      <c r="J42" s="34"/>
      <c r="K42" s="34"/>
      <c r="L42" s="34"/>
      <c r="M42" s="34"/>
      <c r="N42" s="34"/>
      <c r="O42" s="34"/>
      <c r="P42" s="34"/>
      <c r="Q42" s="34"/>
    </row>
    <row r="43" spans="2:17">
      <c r="B43" s="261" t="s">
        <v>39</v>
      </c>
      <c r="C43" s="261"/>
      <c r="D43" s="261"/>
      <c r="E43" s="261"/>
      <c r="F43" s="261"/>
      <c r="G43" s="261"/>
      <c r="H43" s="261"/>
      <c r="I43" s="261"/>
      <c r="J43" s="261"/>
      <c r="K43" s="261"/>
      <c r="L43" s="261"/>
      <c r="M43" s="261"/>
      <c r="N43" s="261"/>
      <c r="O43" s="261"/>
      <c r="P43" s="261"/>
      <c r="Q43" s="34"/>
    </row>
    <row r="44" spans="2:17" ht="15" thickBot="1">
      <c r="B44" s="34"/>
      <c r="C44" s="34"/>
      <c r="D44" s="34"/>
      <c r="E44" s="34"/>
      <c r="F44" s="34"/>
      <c r="G44" s="34"/>
      <c r="H44" s="34"/>
      <c r="I44" s="34"/>
      <c r="J44" s="34"/>
      <c r="K44" s="34"/>
      <c r="L44" s="34"/>
      <c r="M44" s="34"/>
      <c r="N44" s="34"/>
      <c r="O44" s="34"/>
      <c r="P44" s="34"/>
      <c r="Q44" s="34"/>
    </row>
    <row r="45" spans="2:17">
      <c r="B45" s="34"/>
      <c r="C45" s="262" t="s">
        <v>2</v>
      </c>
      <c r="D45" s="263"/>
      <c r="E45" s="268" t="s">
        <v>6</v>
      </c>
      <c r="F45" s="269"/>
      <c r="G45" s="269"/>
      <c r="H45" s="269"/>
      <c r="I45" s="269"/>
      <c r="J45" s="270"/>
      <c r="K45" s="268" t="s">
        <v>7</v>
      </c>
      <c r="L45" s="269"/>
      <c r="M45" s="269"/>
      <c r="N45" s="269"/>
      <c r="O45" s="269"/>
      <c r="P45" s="271"/>
      <c r="Q45" s="34"/>
    </row>
    <row r="46" spans="2:17">
      <c r="B46" s="34"/>
      <c r="C46" s="264"/>
      <c r="D46" s="265"/>
      <c r="E46" s="247" t="s">
        <v>40</v>
      </c>
      <c r="F46" s="248"/>
      <c r="G46" s="247" t="s">
        <v>41</v>
      </c>
      <c r="H46" s="248"/>
      <c r="I46" s="247" t="s">
        <v>42</v>
      </c>
      <c r="J46" s="248"/>
      <c r="K46" s="247" t="s">
        <v>40</v>
      </c>
      <c r="L46" s="248"/>
      <c r="M46" s="247" t="s">
        <v>41</v>
      </c>
      <c r="N46" s="248"/>
      <c r="O46" s="247" t="s">
        <v>42</v>
      </c>
      <c r="P46" s="249"/>
      <c r="Q46" s="34"/>
    </row>
    <row r="47" spans="2:17" ht="15" thickBot="1">
      <c r="B47" s="34"/>
      <c r="C47" s="266"/>
      <c r="D47" s="267"/>
      <c r="E47" s="7" t="s">
        <v>43</v>
      </c>
      <c r="F47" s="6" t="s">
        <v>44</v>
      </c>
      <c r="G47" s="7" t="s">
        <v>43</v>
      </c>
      <c r="H47" s="6" t="s">
        <v>44</v>
      </c>
      <c r="I47" s="7" t="s">
        <v>43</v>
      </c>
      <c r="J47" s="6" t="s">
        <v>44</v>
      </c>
      <c r="K47" s="7" t="s">
        <v>43</v>
      </c>
      <c r="L47" s="6" t="s">
        <v>44</v>
      </c>
      <c r="M47" s="7" t="s">
        <v>43</v>
      </c>
      <c r="N47" s="6" t="s">
        <v>44</v>
      </c>
      <c r="O47" s="7" t="s">
        <v>43</v>
      </c>
      <c r="P47" s="8" t="s">
        <v>44</v>
      </c>
      <c r="Q47" s="34"/>
    </row>
    <row r="48" spans="2:17">
      <c r="B48" s="34"/>
      <c r="C48" s="250">
        <f>IF('[1]Testing Summary'!A5&lt;&gt;"",'[1]Testing Summary'!A5,"")</f>
        <v>44613</v>
      </c>
      <c r="D48" s="251"/>
      <c r="E48" s="66" t="str">
        <f>IF('[1]Testing Summary'!B5&gt;0,'[1]Testing Summary'!B5,"")</f>
        <v/>
      </c>
      <c r="F48" s="67" t="str">
        <f>IF('[1]Testing Summary'!C5&gt;0,'[1]Testing Summary'!C5,"")</f>
        <v/>
      </c>
      <c r="G48" s="66">
        <f>IF('[1]Testing Summary'!D5&gt;0,'[1]Testing Summary'!D5,"")</f>
        <v>2</v>
      </c>
      <c r="H48" s="67">
        <f>IF('[1]Testing Summary'!E5&gt;0,'[1]Testing Summary'!E5,"")</f>
        <v>3</v>
      </c>
      <c r="I48" s="66" t="str">
        <f>IF('[1]Testing Summary'!F5&gt;0,'[1]Testing Summary'!F5,"")</f>
        <v/>
      </c>
      <c r="J48" s="67" t="str">
        <f>IF('[1]Testing Summary'!G5&gt;0,'[1]Testing Summary'!G5,"")</f>
        <v/>
      </c>
      <c r="K48" s="66" t="str">
        <f>IF('[1]Testing Summary'!H5&gt;0,'[1]Testing Summary'!H5,"")</f>
        <v/>
      </c>
      <c r="L48" s="67" t="str">
        <f>IF('[1]Testing Summary'!I5&gt;0,'[1]Testing Summary'!I5,"")</f>
        <v/>
      </c>
      <c r="M48" s="66" t="str">
        <f>IF('[1]Testing Summary'!J5&gt;0,'[1]Testing Summary'!J5,"")</f>
        <v/>
      </c>
      <c r="N48" s="67">
        <f>IF('[1]Testing Summary'!K5&gt;0,'[1]Testing Summary'!K5,"")</f>
        <v>1</v>
      </c>
      <c r="O48" s="66">
        <f>IF('[1]Testing Summary'!L5&gt;0,'[1]Testing Summary'!L5,"")</f>
        <v>1</v>
      </c>
      <c r="P48" s="68">
        <f>IF('[1]Testing Summary'!M5&gt;0,'[1]Testing Summary'!M5,"")</f>
        <v>2</v>
      </c>
      <c r="Q48" s="34"/>
    </row>
    <row r="49" spans="2:18">
      <c r="B49" s="34"/>
      <c r="C49" s="252" t="str">
        <f>IF('[1]Testing Summary'!A6&lt;&gt;"",'[1]Testing Summary'!A6,"")</f>
        <v/>
      </c>
      <c r="D49" s="253"/>
      <c r="E49" s="69" t="str">
        <f>IF('[1]Testing Summary'!B6&gt;0,'[1]Testing Summary'!B6,"")</f>
        <v/>
      </c>
      <c r="F49" s="70" t="str">
        <f>IF('[1]Testing Summary'!C6&gt;0,'[1]Testing Summary'!C6,"")</f>
        <v/>
      </c>
      <c r="G49" s="69" t="str">
        <f>IF('[1]Testing Summary'!D6&gt;0,'[1]Testing Summary'!D6,"")</f>
        <v/>
      </c>
      <c r="H49" s="70" t="str">
        <f>IF('[1]Testing Summary'!E6&gt;0,'[1]Testing Summary'!E6,"")</f>
        <v/>
      </c>
      <c r="I49" s="69"/>
      <c r="J49" s="70"/>
      <c r="K49" s="69"/>
      <c r="L49" s="70"/>
      <c r="M49" s="69"/>
      <c r="N49" s="70"/>
      <c r="O49" s="69"/>
      <c r="P49" s="3"/>
      <c r="Q49" s="34"/>
    </row>
    <row r="50" spans="2:18">
      <c r="B50" s="34"/>
      <c r="C50" s="252" t="str">
        <f>IF('[1]Testing Summary'!A7&lt;&gt;"",'[1]Testing Summary'!A7,"")</f>
        <v/>
      </c>
      <c r="D50" s="253"/>
      <c r="E50" s="69" t="str">
        <f>IF('[1]Testing Summary'!B7&gt;0,'[1]Testing Summary'!B7,"")</f>
        <v/>
      </c>
      <c r="F50" s="70" t="str">
        <f>IF('[1]Testing Summary'!C7&gt;0,'[1]Testing Summary'!C7,"")</f>
        <v/>
      </c>
      <c r="G50" s="69" t="str">
        <f>IF('[1]Testing Summary'!D7&gt;0,'[1]Testing Summary'!D7,"")</f>
        <v/>
      </c>
      <c r="H50" s="70" t="str">
        <f>IF('[1]Testing Summary'!E7&gt;0,'[1]Testing Summary'!E7,"")</f>
        <v/>
      </c>
      <c r="I50" s="69"/>
      <c r="J50" s="70"/>
      <c r="K50" s="69"/>
      <c r="L50" s="70"/>
      <c r="M50" s="69"/>
      <c r="N50" s="70"/>
      <c r="O50" s="69"/>
      <c r="P50" s="3"/>
      <c r="Q50" s="34"/>
    </row>
    <row r="51" spans="2:18">
      <c r="B51" s="34"/>
      <c r="C51" s="252" t="str">
        <f>IF('[1]Testing Summary'!A8&lt;&gt;"",'[1]Testing Summary'!A8,"")</f>
        <v/>
      </c>
      <c r="D51" s="253"/>
      <c r="E51" s="69" t="str">
        <f>IF('[1]Testing Summary'!B8&gt;0,'[1]Testing Summary'!B8,"")</f>
        <v/>
      </c>
      <c r="F51" s="70" t="str">
        <f>IF('[1]Testing Summary'!C8&gt;0,'[1]Testing Summary'!C8,"")</f>
        <v/>
      </c>
      <c r="G51" s="69" t="str">
        <f>IF('[1]Testing Summary'!D8&gt;0,'[1]Testing Summary'!D8,"")</f>
        <v/>
      </c>
      <c r="H51" s="70" t="str">
        <f>IF('[1]Testing Summary'!E8&gt;0,'[1]Testing Summary'!E8,"")</f>
        <v/>
      </c>
      <c r="I51" s="69"/>
      <c r="J51" s="70"/>
      <c r="K51" s="69"/>
      <c r="L51" s="70"/>
      <c r="M51" s="69"/>
      <c r="N51" s="70"/>
      <c r="O51" s="69"/>
      <c r="P51" s="3"/>
      <c r="Q51" s="34"/>
    </row>
    <row r="52" spans="2:18">
      <c r="B52" s="34"/>
      <c r="C52" s="252" t="str">
        <f>IF('[1]Testing Summary'!A9&lt;&gt;"",'[1]Testing Summary'!A9,"")</f>
        <v/>
      </c>
      <c r="D52" s="253"/>
      <c r="E52" s="69" t="str">
        <f>IF('[1]Testing Summary'!B9&gt;0,'[1]Testing Summary'!B9,"")</f>
        <v/>
      </c>
      <c r="F52" s="70" t="str">
        <f>IF('[1]Testing Summary'!C9&gt;0,'[1]Testing Summary'!C9,"")</f>
        <v/>
      </c>
      <c r="G52" s="69" t="str">
        <f>IF('[1]Testing Summary'!D9&gt;0,'[1]Testing Summary'!D9,"")</f>
        <v/>
      </c>
      <c r="H52" s="70" t="str">
        <f>IF('[1]Testing Summary'!E9&gt;0,'[1]Testing Summary'!E9,"")</f>
        <v/>
      </c>
      <c r="I52" s="69"/>
      <c r="J52" s="70"/>
      <c r="K52" s="69"/>
      <c r="L52" s="70"/>
      <c r="M52" s="69"/>
      <c r="N52" s="70"/>
      <c r="O52" s="69"/>
      <c r="P52" s="3"/>
      <c r="Q52" s="34"/>
    </row>
    <row r="53" spans="2:18">
      <c r="B53" s="34"/>
      <c r="C53" s="252" t="str">
        <f>IF('[1]Testing Summary'!A10&lt;&gt;"",'[1]Testing Summary'!A10,"")</f>
        <v/>
      </c>
      <c r="D53" s="253"/>
      <c r="E53" s="69" t="str">
        <f>IF('[1]Testing Summary'!B10&gt;0,'[1]Testing Summary'!B10,"")</f>
        <v/>
      </c>
      <c r="F53" s="70" t="str">
        <f>IF('[1]Testing Summary'!C10&gt;0,'[1]Testing Summary'!C10,"")</f>
        <v/>
      </c>
      <c r="G53" s="69" t="str">
        <f>IF('[1]Testing Summary'!D10&gt;0,'[1]Testing Summary'!D10,"")</f>
        <v/>
      </c>
      <c r="H53" s="70" t="str">
        <f>IF('[1]Testing Summary'!E10&gt;0,'[1]Testing Summary'!E10,"")</f>
        <v/>
      </c>
      <c r="I53" s="69"/>
      <c r="J53" s="70"/>
      <c r="K53" s="69"/>
      <c r="L53" s="70"/>
      <c r="M53" s="69"/>
      <c r="N53" s="70"/>
      <c r="O53" s="69"/>
      <c r="P53" s="3"/>
      <c r="Q53" s="34"/>
    </row>
    <row r="54" spans="2:18">
      <c r="B54" s="34"/>
      <c r="C54" s="252" t="str">
        <f>IF('[1]Testing Summary'!A11&lt;&gt;"",'[1]Testing Summary'!A11,"")</f>
        <v/>
      </c>
      <c r="D54" s="253"/>
      <c r="E54" s="69" t="str">
        <f>IF('[1]Testing Summary'!B11&gt;0,'[1]Testing Summary'!B11,"")</f>
        <v/>
      </c>
      <c r="F54" s="70" t="str">
        <f>IF('[1]Testing Summary'!C11&gt;0,'[1]Testing Summary'!C11,"")</f>
        <v/>
      </c>
      <c r="G54" s="69" t="str">
        <f>IF('[1]Testing Summary'!D11&gt;0,'[1]Testing Summary'!D11,"")</f>
        <v/>
      </c>
      <c r="H54" s="70" t="str">
        <f>IF('[1]Testing Summary'!E11&gt;0,'[1]Testing Summary'!E11,"")</f>
        <v/>
      </c>
      <c r="I54" s="69"/>
      <c r="J54" s="70"/>
      <c r="K54" s="69"/>
      <c r="L54" s="70"/>
      <c r="M54" s="69"/>
      <c r="N54" s="70"/>
      <c r="O54" s="69"/>
      <c r="P54" s="3"/>
      <c r="Q54" s="34"/>
    </row>
    <row r="55" spans="2:18">
      <c r="B55" s="34"/>
      <c r="C55" s="252" t="str">
        <f>IF('[1]Testing Summary'!A12&lt;&gt;"",'[1]Testing Summary'!A12,"")</f>
        <v/>
      </c>
      <c r="D55" s="253"/>
      <c r="E55" s="69" t="str">
        <f>IF('[1]Testing Summary'!B12&gt;0,'[1]Testing Summary'!B12,"")</f>
        <v/>
      </c>
      <c r="F55" s="70" t="str">
        <f>IF('[1]Testing Summary'!C12&gt;0,'[1]Testing Summary'!C12,"")</f>
        <v/>
      </c>
      <c r="G55" s="69" t="str">
        <f>IF('[1]Testing Summary'!D12&gt;0,'[1]Testing Summary'!D12,"")</f>
        <v/>
      </c>
      <c r="H55" s="70" t="str">
        <f>IF('[1]Testing Summary'!E12&gt;0,'[1]Testing Summary'!E12,"")</f>
        <v/>
      </c>
      <c r="I55" s="69"/>
      <c r="J55" s="70"/>
      <c r="K55" s="69"/>
      <c r="L55" s="70"/>
      <c r="M55" s="69"/>
      <c r="N55" s="70"/>
      <c r="O55" s="69"/>
      <c r="P55" s="3"/>
      <c r="Q55" s="34"/>
    </row>
    <row r="56" spans="2:18">
      <c r="B56" s="34"/>
      <c r="C56" s="252" t="str">
        <f>IF('[1]Testing Summary'!A13&lt;&gt;"",'[1]Testing Summary'!A13,"")</f>
        <v/>
      </c>
      <c r="D56" s="253"/>
      <c r="E56" s="69" t="str">
        <f>IF('[1]Testing Summary'!B13&gt;0,'[1]Testing Summary'!B13,"")</f>
        <v/>
      </c>
      <c r="F56" s="70" t="str">
        <f>IF('[1]Testing Summary'!C13&gt;0,'[1]Testing Summary'!C13,"")</f>
        <v/>
      </c>
      <c r="G56" s="69" t="str">
        <f>IF('[1]Testing Summary'!D13&gt;0,'[1]Testing Summary'!D13,"")</f>
        <v/>
      </c>
      <c r="H56" s="70" t="str">
        <f>IF('[1]Testing Summary'!E13&gt;0,'[1]Testing Summary'!E13,"")</f>
        <v/>
      </c>
      <c r="I56" s="69"/>
      <c r="J56" s="70"/>
      <c r="K56" s="69"/>
      <c r="L56" s="70"/>
      <c r="M56" s="69"/>
      <c r="N56" s="70"/>
      <c r="O56" s="69"/>
      <c r="P56" s="3"/>
      <c r="Q56" s="34"/>
    </row>
    <row r="57" spans="2:18">
      <c r="B57" s="34"/>
      <c r="C57" s="252" t="str">
        <f>IF('[1]Testing Summary'!A14&lt;&gt;"",'[1]Testing Summary'!A14,"")</f>
        <v/>
      </c>
      <c r="D57" s="253"/>
      <c r="E57" s="69" t="str">
        <f>IF('[1]Testing Summary'!B14&gt;0,'[1]Testing Summary'!B14,"")</f>
        <v/>
      </c>
      <c r="F57" s="70" t="str">
        <f>IF('[1]Testing Summary'!C14&gt;0,'[1]Testing Summary'!C14,"")</f>
        <v/>
      </c>
      <c r="G57" s="69" t="str">
        <f>IF('[1]Testing Summary'!D14&gt;0,'[1]Testing Summary'!D14,"")</f>
        <v/>
      </c>
      <c r="H57" s="70" t="str">
        <f>IF('[1]Testing Summary'!E14&gt;0,'[1]Testing Summary'!E14,"")</f>
        <v/>
      </c>
      <c r="I57" s="69"/>
      <c r="J57" s="70"/>
      <c r="K57" s="69"/>
      <c r="L57" s="70"/>
      <c r="M57" s="69"/>
      <c r="N57" s="70"/>
      <c r="O57" s="69"/>
      <c r="P57" s="3"/>
      <c r="Q57" s="34"/>
    </row>
    <row r="58" spans="2:18">
      <c r="B58" s="34"/>
      <c r="C58" s="252" t="str">
        <f>IF('[1]Testing Summary'!A15&lt;&gt;"",'[1]Testing Summary'!A15,"")</f>
        <v/>
      </c>
      <c r="D58" s="253"/>
      <c r="E58" s="69" t="str">
        <f>IF('[1]Testing Summary'!B15&gt;0,'[1]Testing Summary'!B15,"")</f>
        <v/>
      </c>
      <c r="F58" s="70" t="str">
        <f>IF('[1]Testing Summary'!C15&gt;0,'[1]Testing Summary'!C15,"")</f>
        <v/>
      </c>
      <c r="G58" s="69" t="str">
        <f>IF('[1]Testing Summary'!D15&gt;0,'[1]Testing Summary'!D15,"")</f>
        <v/>
      </c>
      <c r="H58" s="70" t="str">
        <f>IF('[1]Testing Summary'!E15&gt;0,'[1]Testing Summary'!E15,"")</f>
        <v/>
      </c>
      <c r="I58" s="69"/>
      <c r="J58" s="70"/>
      <c r="K58" s="69"/>
      <c r="L58" s="70"/>
      <c r="M58" s="69"/>
      <c r="N58" s="70"/>
      <c r="O58" s="69"/>
      <c r="P58" s="3"/>
      <c r="Q58" s="34"/>
    </row>
    <row r="59" spans="2:18">
      <c r="B59" s="34"/>
      <c r="C59" s="272" t="str">
        <f>IF('[1]Testing Summary'!A16&lt;&gt;"",'[1]Testing Summary'!A16,"")</f>
        <v/>
      </c>
      <c r="D59" s="273"/>
      <c r="E59" s="71" t="str">
        <f>IF('[1]Testing Summary'!B16&gt;0,'[1]Testing Summary'!B16,"")</f>
        <v/>
      </c>
      <c r="F59" s="72" t="str">
        <f>IF('[1]Testing Summary'!C16&gt;0,'[1]Testing Summary'!C16,"")</f>
        <v/>
      </c>
      <c r="G59" s="71" t="str">
        <f>IF('[1]Testing Summary'!D16&gt;0,'[1]Testing Summary'!D16,"")</f>
        <v/>
      </c>
      <c r="H59" s="72" t="str">
        <f>IF('[1]Testing Summary'!E16&gt;0,'[1]Testing Summary'!E16,"")</f>
        <v/>
      </c>
      <c r="I59" s="71"/>
      <c r="J59" s="72"/>
      <c r="K59" s="71"/>
      <c r="L59" s="72"/>
      <c r="M59" s="71"/>
      <c r="N59" s="72"/>
      <c r="O59" s="71"/>
      <c r="P59" s="73"/>
      <c r="Q59" s="34"/>
    </row>
    <row r="60" spans="2:18" ht="15" thickBot="1">
      <c r="B60" s="34"/>
      <c r="C60" s="274" t="s">
        <v>45</v>
      </c>
      <c r="D60" s="275"/>
      <c r="E60" s="74" t="str">
        <f>IF(SUM(E48:E59)=0,"",SUM(E48:E59))</f>
        <v/>
      </c>
      <c r="F60" s="75" t="str">
        <f t="shared" ref="F60:P60" si="3">IF(SUM(F48:F59)=0,"",SUM(F48:F59))</f>
        <v/>
      </c>
      <c r="G60" s="74">
        <f t="shared" si="3"/>
        <v>2</v>
      </c>
      <c r="H60" s="75">
        <f t="shared" si="3"/>
        <v>3</v>
      </c>
      <c r="I60" s="74" t="str">
        <f t="shared" si="3"/>
        <v/>
      </c>
      <c r="J60" s="75" t="str">
        <f t="shared" si="3"/>
        <v/>
      </c>
      <c r="K60" s="74" t="str">
        <f t="shared" si="3"/>
        <v/>
      </c>
      <c r="L60" s="75" t="str">
        <f t="shared" si="3"/>
        <v/>
      </c>
      <c r="M60" s="74" t="str">
        <f t="shared" si="3"/>
        <v/>
      </c>
      <c r="N60" s="75">
        <f t="shared" si="3"/>
        <v>1</v>
      </c>
      <c r="O60" s="74">
        <f t="shared" si="3"/>
        <v>1</v>
      </c>
      <c r="P60" s="33">
        <f t="shared" si="3"/>
        <v>2</v>
      </c>
      <c r="Q60" s="34"/>
    </row>
    <row r="61" spans="2:18" ht="15" thickBot="1">
      <c r="B61" s="34"/>
      <c r="C61" s="276" t="s">
        <v>45</v>
      </c>
      <c r="D61" s="277"/>
      <c r="E61" s="278">
        <f>SUM(E60:J60)</f>
        <v>5</v>
      </c>
      <c r="F61" s="278"/>
      <c r="G61" s="278"/>
      <c r="H61" s="278"/>
      <c r="I61" s="278"/>
      <c r="J61" s="279"/>
      <c r="K61" s="280">
        <f>SUM(K60:P60)</f>
        <v>4</v>
      </c>
      <c r="L61" s="278"/>
      <c r="M61" s="278"/>
      <c r="N61" s="278"/>
      <c r="O61" s="278"/>
      <c r="P61" s="281"/>
      <c r="Q61" s="34"/>
    </row>
    <row r="62" spans="2:18">
      <c r="B62" s="34"/>
      <c r="C62" s="34"/>
      <c r="D62" s="34"/>
      <c r="E62" s="34"/>
      <c r="F62" s="34"/>
      <c r="G62" s="34"/>
      <c r="H62" s="34"/>
      <c r="I62" s="34"/>
      <c r="J62" s="34"/>
      <c r="K62" s="34"/>
      <c r="L62" s="34"/>
      <c r="M62" s="34"/>
      <c r="N62" s="34"/>
      <c r="O62" s="34"/>
      <c r="P62" s="34"/>
      <c r="Q62" s="34"/>
    </row>
    <row r="63" spans="2:18" ht="14.45" customHeight="1">
      <c r="B63" s="282" t="s">
        <v>46</v>
      </c>
      <c r="C63" s="282"/>
      <c r="D63" s="282"/>
      <c r="E63" s="282"/>
      <c r="F63" s="282"/>
      <c r="G63" s="282"/>
      <c r="H63" s="282"/>
      <c r="I63" s="282"/>
      <c r="J63" s="282"/>
      <c r="K63" s="282"/>
      <c r="L63" s="282"/>
      <c r="M63" s="282"/>
      <c r="N63" s="282"/>
      <c r="O63" s="282"/>
      <c r="P63" s="282"/>
      <c r="Q63" s="282"/>
      <c r="R63" s="163"/>
    </row>
    <row r="64" spans="2:18">
      <c r="B64" s="282"/>
      <c r="C64" s="282"/>
      <c r="D64" s="282"/>
      <c r="E64" s="282"/>
      <c r="F64" s="282"/>
      <c r="G64" s="282"/>
      <c r="H64" s="282"/>
      <c r="I64" s="282"/>
      <c r="J64" s="282"/>
      <c r="K64" s="282"/>
      <c r="L64" s="282"/>
      <c r="M64" s="282"/>
      <c r="N64" s="282"/>
      <c r="O64" s="282"/>
      <c r="P64" s="282"/>
      <c r="Q64" s="282"/>
      <c r="R64" s="163"/>
    </row>
    <row r="65" spans="2:18" ht="15" thickBot="1">
      <c r="B65" s="34"/>
      <c r="C65" s="76"/>
      <c r="D65" s="76"/>
      <c r="E65" s="76"/>
      <c r="F65" s="76"/>
      <c r="G65" s="76"/>
      <c r="H65" s="76"/>
      <c r="I65" s="76"/>
      <c r="J65" s="76"/>
      <c r="K65" s="76"/>
      <c r="L65" s="76"/>
      <c r="M65" s="76"/>
      <c r="N65" s="76"/>
      <c r="O65" s="76"/>
      <c r="P65" s="76"/>
      <c r="Q65" s="76"/>
      <c r="R65" s="76"/>
    </row>
    <row r="66" spans="2:18" ht="75.599999999999994" customHeight="1" thickBot="1">
      <c r="B66" s="34"/>
      <c r="C66" s="77" t="s">
        <v>2</v>
      </c>
      <c r="D66" s="283" t="s">
        <v>47</v>
      </c>
      <c r="E66" s="284"/>
      <c r="F66" s="283" t="s">
        <v>48</v>
      </c>
      <c r="G66" s="284"/>
      <c r="H66" s="283" t="s">
        <v>49</v>
      </c>
      <c r="I66" s="284"/>
      <c r="J66" s="283" t="s">
        <v>50</v>
      </c>
      <c r="K66" s="284"/>
      <c r="L66" s="283" t="s">
        <v>51</v>
      </c>
      <c r="M66" s="284"/>
      <c r="N66" s="285" t="s">
        <v>45</v>
      </c>
      <c r="O66" s="286"/>
      <c r="P66" s="34"/>
      <c r="Q66" s="34"/>
    </row>
    <row r="67" spans="2:18">
      <c r="B67" s="34"/>
      <c r="C67" s="78">
        <f>IF('Gardiner Basin Counts'!A2&lt;&gt;"",'Gardiner Basin Counts'!A2,"")</f>
        <v>44579</v>
      </c>
      <c r="D67" s="287">
        <f>IF('Gardiner Basin Counts'!B2&lt;&gt;"",'Gardiner Basin Counts'!B2,"")</f>
        <v>20</v>
      </c>
      <c r="E67" s="287"/>
      <c r="F67" s="287">
        <f>IF('Gardiner Basin Counts'!C2&lt;&gt;"",'Gardiner Basin Counts'!C2,"")</f>
        <v>5</v>
      </c>
      <c r="G67" s="287"/>
      <c r="H67" s="287">
        <f>IF('Gardiner Basin Counts'!D2&lt;&gt;"",'Gardiner Basin Counts'!D2,"")</f>
        <v>9</v>
      </c>
      <c r="I67" s="287"/>
      <c r="J67" s="287">
        <f>IF('Gardiner Basin Counts'!E2&lt;&gt;"",'Gardiner Basin Counts'!E2,"")</f>
        <v>0</v>
      </c>
      <c r="K67" s="287"/>
      <c r="L67" s="287">
        <f>IF('Gardiner Basin Counts'!F2&lt;&gt;"",'Gardiner Basin Counts'!F2,"")</f>
        <v>0</v>
      </c>
      <c r="M67" s="287"/>
      <c r="N67" s="287">
        <f>IF('Gardiner Basin Counts'!G2&lt;&gt;"",'Gardiner Basin Counts'!G2,"")</f>
        <v>34</v>
      </c>
      <c r="O67" s="287"/>
      <c r="P67" s="34"/>
      <c r="Q67" s="34"/>
    </row>
    <row r="68" spans="2:18">
      <c r="B68" s="34"/>
      <c r="C68" s="78">
        <f>IF('Gardiner Basin Counts'!A3&lt;&gt;"",'Gardiner Basin Counts'!A3,"")</f>
        <v>44594</v>
      </c>
      <c r="D68" s="287">
        <f>IF('Gardiner Basin Counts'!B3&lt;&gt;"",'Gardiner Basin Counts'!B3,"")</f>
        <v>52</v>
      </c>
      <c r="E68" s="287"/>
      <c r="F68" s="287">
        <f>IF('Gardiner Basin Counts'!C3&lt;&gt;"",'Gardiner Basin Counts'!C3,"")</f>
        <v>0</v>
      </c>
      <c r="G68" s="287"/>
      <c r="H68" s="287">
        <f>IF('Gardiner Basin Counts'!D3&lt;&gt;"",'Gardiner Basin Counts'!D3,"")</f>
        <v>0</v>
      </c>
      <c r="I68" s="287"/>
      <c r="J68" s="287">
        <f>IF('Gardiner Basin Counts'!E3&lt;&gt;"",'Gardiner Basin Counts'!E3,"")</f>
        <v>0</v>
      </c>
      <c r="K68" s="287"/>
      <c r="L68" s="287">
        <f>IF('Gardiner Basin Counts'!F3&lt;&gt;"",'Gardiner Basin Counts'!F3,"")</f>
        <v>0</v>
      </c>
      <c r="M68" s="287"/>
      <c r="N68" s="287">
        <f>IF('Gardiner Basin Counts'!G3&lt;&gt;"",'Gardiner Basin Counts'!G3,"")</f>
        <v>52</v>
      </c>
      <c r="O68" s="287"/>
      <c r="P68" s="34"/>
      <c r="Q68" s="34"/>
    </row>
    <row r="69" spans="2:18">
      <c r="B69" s="34"/>
      <c r="C69" s="78">
        <f>IF('Gardiner Basin Counts'!A4&lt;&gt;"",'Gardiner Basin Counts'!A4,"")</f>
        <v>44586</v>
      </c>
      <c r="D69" s="287">
        <f>IF('Gardiner Basin Counts'!B4&lt;&gt;"",'Gardiner Basin Counts'!B4,"")</f>
        <v>0</v>
      </c>
      <c r="E69" s="287"/>
      <c r="F69" s="287">
        <f>IF('Gardiner Basin Counts'!C4&lt;&gt;"",'Gardiner Basin Counts'!C4,"")</f>
        <v>11</v>
      </c>
      <c r="G69" s="287"/>
      <c r="H69" s="287">
        <f>IF('Gardiner Basin Counts'!D4&lt;&gt;"",'Gardiner Basin Counts'!D4,"")</f>
        <v>0</v>
      </c>
      <c r="I69" s="287"/>
      <c r="J69" s="287">
        <f>IF('Gardiner Basin Counts'!E4&lt;&gt;"",'Gardiner Basin Counts'!E4,"")</f>
        <v>0</v>
      </c>
      <c r="K69" s="287"/>
      <c r="L69" s="287">
        <f>IF('Gardiner Basin Counts'!F4&lt;&gt;"",'Gardiner Basin Counts'!F4,"")</f>
        <v>0</v>
      </c>
      <c r="M69" s="287"/>
      <c r="N69" s="287">
        <f>IF('Gardiner Basin Counts'!G4&lt;&gt;"",'Gardiner Basin Counts'!G4,"")</f>
        <v>11</v>
      </c>
      <c r="O69" s="287"/>
      <c r="P69" s="34"/>
      <c r="Q69" s="34"/>
    </row>
    <row r="70" spans="2:18">
      <c r="B70" s="34"/>
      <c r="C70" s="78">
        <f>IF('Gardiner Basin Counts'!A5&lt;&gt;"",'Gardiner Basin Counts'!A5,"")</f>
        <v>44600</v>
      </c>
      <c r="D70" s="287">
        <f>IF('Gardiner Basin Counts'!B5&lt;&gt;"",'Gardiner Basin Counts'!B5,"")</f>
        <v>0</v>
      </c>
      <c r="E70" s="287"/>
      <c r="F70" s="287">
        <f>IF('Gardiner Basin Counts'!C5&lt;&gt;"",'Gardiner Basin Counts'!C5,"")</f>
        <v>21</v>
      </c>
      <c r="G70" s="287"/>
      <c r="H70" s="287">
        <f>IF('Gardiner Basin Counts'!D5&lt;&gt;"",'Gardiner Basin Counts'!D5,"")</f>
        <v>0</v>
      </c>
      <c r="I70" s="287"/>
      <c r="J70" s="287">
        <f>IF('Gardiner Basin Counts'!E5&lt;&gt;"",'Gardiner Basin Counts'!E5,"")</f>
        <v>0</v>
      </c>
      <c r="K70" s="287"/>
      <c r="L70" s="287">
        <f>IF('Gardiner Basin Counts'!F5&lt;&gt;"",'Gardiner Basin Counts'!F5,"")</f>
        <v>0</v>
      </c>
      <c r="M70" s="287"/>
      <c r="N70" s="287">
        <f>IF('Gardiner Basin Counts'!G5&lt;&gt;"",'Gardiner Basin Counts'!G5,"")</f>
        <v>21</v>
      </c>
      <c r="O70" s="287"/>
      <c r="P70" s="34"/>
      <c r="Q70" s="34"/>
    </row>
    <row r="71" spans="2:18">
      <c r="B71" s="34"/>
      <c r="C71" s="78">
        <f>IF('Gardiner Basin Counts'!A6&lt;&gt;"",'Gardiner Basin Counts'!A6,"")</f>
        <v>44606</v>
      </c>
      <c r="D71" s="287">
        <f>IF('Gardiner Basin Counts'!B6&lt;&gt;"",'Gardiner Basin Counts'!B6,"")</f>
        <v>6</v>
      </c>
      <c r="E71" s="287"/>
      <c r="F71" s="287">
        <f>IF('Gardiner Basin Counts'!C6&lt;&gt;"",'Gardiner Basin Counts'!C6,"")</f>
        <v>53</v>
      </c>
      <c r="G71" s="287"/>
      <c r="H71" s="287">
        <f>IF('Gardiner Basin Counts'!D6&lt;&gt;"",'Gardiner Basin Counts'!D6,"")</f>
        <v>0</v>
      </c>
      <c r="I71" s="287"/>
      <c r="J71" s="287">
        <f>IF('Gardiner Basin Counts'!E6&lt;&gt;"",'Gardiner Basin Counts'!E6,"")</f>
        <v>0</v>
      </c>
      <c r="K71" s="287"/>
      <c r="L71" s="287">
        <f>IF('Gardiner Basin Counts'!F6&lt;&gt;"",'Gardiner Basin Counts'!F6,"")</f>
        <v>0</v>
      </c>
      <c r="M71" s="287"/>
      <c r="N71" s="287">
        <f>IF('Gardiner Basin Counts'!G6&lt;&gt;"",'Gardiner Basin Counts'!G6,"")</f>
        <v>59</v>
      </c>
      <c r="O71" s="287"/>
      <c r="P71" s="34"/>
      <c r="Q71" s="34"/>
    </row>
    <row r="72" spans="2:18">
      <c r="B72" s="34"/>
      <c r="C72" s="78">
        <f>IF('Gardiner Basin Counts'!A7&lt;&gt;"",'Gardiner Basin Counts'!A7,"")</f>
        <v>44609</v>
      </c>
      <c r="D72" s="287">
        <f>IF('Gardiner Basin Counts'!B7&lt;&gt;"",'Gardiner Basin Counts'!B7,"")</f>
        <v>6</v>
      </c>
      <c r="E72" s="287"/>
      <c r="F72" s="287">
        <f>IF('Gardiner Basin Counts'!C7&lt;&gt;"",'Gardiner Basin Counts'!C7,"")</f>
        <v>95</v>
      </c>
      <c r="G72" s="287"/>
      <c r="H72" s="287">
        <f>IF('Gardiner Basin Counts'!D7&lt;&gt;"",'Gardiner Basin Counts'!D7,"")</f>
        <v>0</v>
      </c>
      <c r="I72" s="287"/>
      <c r="J72" s="287">
        <f>IF('Gardiner Basin Counts'!E7&lt;&gt;"",'Gardiner Basin Counts'!E7,"")</f>
        <v>0</v>
      </c>
      <c r="K72" s="287"/>
      <c r="L72" s="287">
        <f>IF('Gardiner Basin Counts'!F7&lt;&gt;"",'Gardiner Basin Counts'!F7,"")</f>
        <v>0</v>
      </c>
      <c r="M72" s="287"/>
      <c r="N72" s="287">
        <f>IF('Gardiner Basin Counts'!G7&lt;&gt;"",'Gardiner Basin Counts'!G7,"")</f>
        <v>101</v>
      </c>
      <c r="O72" s="287"/>
      <c r="P72" s="34"/>
      <c r="Q72" s="34"/>
    </row>
    <row r="73" spans="2:18">
      <c r="B73" s="34"/>
      <c r="C73" s="78">
        <f>IF('Gardiner Basin Counts'!A8&lt;&gt;"",'Gardiner Basin Counts'!A8,"")</f>
        <v>44614</v>
      </c>
      <c r="D73" s="287">
        <f>IF('Gardiner Basin Counts'!B8&lt;&gt;"",'Gardiner Basin Counts'!B8,"")</f>
        <v>12</v>
      </c>
      <c r="E73" s="287"/>
      <c r="F73" s="287">
        <f>IF('Gardiner Basin Counts'!C8&lt;&gt;"",'Gardiner Basin Counts'!C8,"")</f>
        <v>18</v>
      </c>
      <c r="G73" s="287"/>
      <c r="H73" s="287">
        <f>IF('Gardiner Basin Counts'!D8&lt;&gt;"",'Gardiner Basin Counts'!D8,"")</f>
        <v>0</v>
      </c>
      <c r="I73" s="287"/>
      <c r="J73" s="287">
        <f>IF('Gardiner Basin Counts'!E8&lt;&gt;"",'Gardiner Basin Counts'!E8,"")</f>
        <v>0</v>
      </c>
      <c r="K73" s="287"/>
      <c r="L73" s="287">
        <f>IF('Gardiner Basin Counts'!F8&lt;&gt;"",'Gardiner Basin Counts'!F8,"")</f>
        <v>0</v>
      </c>
      <c r="M73" s="287"/>
      <c r="N73" s="287">
        <f>IF('Gardiner Basin Counts'!G8&lt;&gt;"",'Gardiner Basin Counts'!G8,"")</f>
        <v>30</v>
      </c>
      <c r="O73" s="287"/>
      <c r="P73" s="34"/>
      <c r="Q73" s="34"/>
    </row>
    <row r="74" spans="2:18">
      <c r="B74" s="34"/>
      <c r="C74" s="78">
        <f>IF('Gardiner Basin Counts'!A9&lt;&gt;"",'Gardiner Basin Counts'!A9,"")</f>
        <v>44620</v>
      </c>
      <c r="D74" s="287">
        <f>IF('Gardiner Basin Counts'!B9&lt;&gt;"",'Gardiner Basin Counts'!B9,"")</f>
        <v>37</v>
      </c>
      <c r="E74" s="287"/>
      <c r="F74" s="287">
        <f>IF('Gardiner Basin Counts'!C9&lt;&gt;"",'Gardiner Basin Counts'!C9,"")</f>
        <v>36</v>
      </c>
      <c r="G74" s="287"/>
      <c r="H74" s="287">
        <f>IF('Gardiner Basin Counts'!D9&lt;&gt;"",'Gardiner Basin Counts'!D9,"")</f>
        <v>4</v>
      </c>
      <c r="I74" s="287"/>
      <c r="J74" s="287">
        <f>IF('Gardiner Basin Counts'!E9&lt;&gt;"",'Gardiner Basin Counts'!E9,"")</f>
        <v>0</v>
      </c>
      <c r="K74" s="287"/>
      <c r="L74" s="287">
        <f>IF('Gardiner Basin Counts'!F9&lt;&gt;"",'Gardiner Basin Counts'!F9,"")</f>
        <v>0</v>
      </c>
      <c r="M74" s="287"/>
      <c r="N74" s="287">
        <f>IF('Gardiner Basin Counts'!G9&lt;&gt;"",'Gardiner Basin Counts'!G9,"")</f>
        <v>77</v>
      </c>
      <c r="O74" s="287"/>
      <c r="P74" s="34"/>
      <c r="Q74" s="34"/>
    </row>
    <row r="75" spans="2:18">
      <c r="B75" s="34"/>
      <c r="C75" s="78">
        <f>IF('Gardiner Basin Counts'!A10&lt;&gt;"",'Gardiner Basin Counts'!A10,"")</f>
        <v>44628</v>
      </c>
      <c r="D75" s="287">
        <f>IF('Gardiner Basin Counts'!B10&lt;&gt;"",'Gardiner Basin Counts'!B10,"")</f>
        <v>11</v>
      </c>
      <c r="E75" s="287"/>
      <c r="F75" s="287">
        <f>IF('Gardiner Basin Counts'!C10&lt;&gt;"",'Gardiner Basin Counts'!C10,"")</f>
        <v>3</v>
      </c>
      <c r="G75" s="287"/>
      <c r="H75" s="287">
        <f>IF('Gardiner Basin Counts'!D10&lt;&gt;"",'Gardiner Basin Counts'!D10,"")</f>
        <v>4</v>
      </c>
      <c r="I75" s="287"/>
      <c r="J75" s="287">
        <f>IF('Gardiner Basin Counts'!E10&lt;&gt;"",'Gardiner Basin Counts'!E10,"")</f>
        <v>0</v>
      </c>
      <c r="K75" s="287"/>
      <c r="L75" s="287">
        <f>IF('Gardiner Basin Counts'!F10&lt;&gt;"",'Gardiner Basin Counts'!F10,"")</f>
        <v>0</v>
      </c>
      <c r="M75" s="287"/>
      <c r="N75" s="287">
        <f>IF('Gardiner Basin Counts'!G10&lt;&gt;"",'Gardiner Basin Counts'!G10,"")</f>
        <v>18</v>
      </c>
      <c r="O75" s="287"/>
      <c r="P75" s="34"/>
      <c r="Q75" s="34"/>
    </row>
    <row r="76" spans="2:18">
      <c r="B76" s="34"/>
      <c r="C76" s="78">
        <f>IF('Gardiner Basin Counts'!A11&lt;&gt;"",'Gardiner Basin Counts'!A11,"")</f>
        <v>44635</v>
      </c>
      <c r="D76" s="287">
        <f>IF('Gardiner Basin Counts'!B11&lt;&gt;"",'Gardiner Basin Counts'!B11,"")</f>
        <v>16</v>
      </c>
      <c r="E76" s="287"/>
      <c r="F76" s="287">
        <f>IF('Gardiner Basin Counts'!C11&lt;&gt;"",'Gardiner Basin Counts'!C11,"")</f>
        <v>1</v>
      </c>
      <c r="G76" s="287"/>
      <c r="H76" s="287">
        <f>IF('Gardiner Basin Counts'!D11&lt;&gt;"",'Gardiner Basin Counts'!D11,"")</f>
        <v>4</v>
      </c>
      <c r="I76" s="287"/>
      <c r="J76" s="287">
        <f>IF('Gardiner Basin Counts'!E11&lt;&gt;"",'Gardiner Basin Counts'!E11,"")</f>
        <v>0</v>
      </c>
      <c r="K76" s="287"/>
      <c r="L76" s="287">
        <f>IF('Gardiner Basin Counts'!F11&lt;&gt;"",'Gardiner Basin Counts'!F11,"")</f>
        <v>0</v>
      </c>
      <c r="M76" s="287"/>
      <c r="N76" s="287">
        <f>IF('Gardiner Basin Counts'!G11&lt;&gt;"",'Gardiner Basin Counts'!G11,"")</f>
        <v>21</v>
      </c>
      <c r="O76" s="287"/>
      <c r="P76" s="34"/>
      <c r="Q76" s="34"/>
    </row>
    <row r="77" spans="2:18">
      <c r="B77" s="34"/>
      <c r="C77" s="78">
        <f>IF('Gardiner Basin Counts'!A12&lt;&gt;"",'Gardiner Basin Counts'!A12,"")</f>
        <v>44642</v>
      </c>
      <c r="D77" s="287">
        <f>IF('Gardiner Basin Counts'!B12&lt;&gt;"",'Gardiner Basin Counts'!B12,"")</f>
        <v>5</v>
      </c>
      <c r="E77" s="287"/>
      <c r="F77" s="287">
        <f>IF('Gardiner Basin Counts'!C12&lt;&gt;"",'Gardiner Basin Counts'!C12,"")</f>
        <v>17</v>
      </c>
      <c r="G77" s="287"/>
      <c r="H77" s="287">
        <f>IF('Gardiner Basin Counts'!D12&lt;&gt;"",'Gardiner Basin Counts'!D12,"")</f>
        <v>4</v>
      </c>
      <c r="I77" s="287"/>
      <c r="J77" s="287">
        <f>IF('Gardiner Basin Counts'!E12&lt;&gt;"",'Gardiner Basin Counts'!E12,"")</f>
        <v>0</v>
      </c>
      <c r="K77" s="287"/>
      <c r="L77" s="287">
        <f>IF('Gardiner Basin Counts'!F12&lt;&gt;"",'Gardiner Basin Counts'!F12,"")</f>
        <v>0</v>
      </c>
      <c r="M77" s="287"/>
      <c r="N77" s="287">
        <f>IF('Gardiner Basin Counts'!G12&lt;&gt;"",'Gardiner Basin Counts'!G12,"")</f>
        <v>26</v>
      </c>
      <c r="O77" s="287"/>
      <c r="P77" s="34"/>
      <c r="Q77" s="34"/>
    </row>
    <row r="78" spans="2:18">
      <c r="B78" s="34"/>
      <c r="C78" s="78">
        <f>IF('Gardiner Basin Counts'!A13&lt;&gt;"",'Gardiner Basin Counts'!A13,"")</f>
        <v>44649</v>
      </c>
      <c r="D78" s="287">
        <f>IF('Gardiner Basin Counts'!B13&lt;&gt;"",'Gardiner Basin Counts'!B13,"")</f>
        <v>5</v>
      </c>
      <c r="E78" s="287"/>
      <c r="F78" s="287">
        <f>IF('Gardiner Basin Counts'!C13&lt;&gt;"",'Gardiner Basin Counts'!C13,"")</f>
        <v>30</v>
      </c>
      <c r="G78" s="287"/>
      <c r="H78" s="287">
        <f>IF('Gardiner Basin Counts'!D13&lt;&gt;"",'Gardiner Basin Counts'!D13,"")</f>
        <v>0</v>
      </c>
      <c r="I78" s="287"/>
      <c r="J78" s="287">
        <f>IF('Gardiner Basin Counts'!E13&lt;&gt;"",'Gardiner Basin Counts'!E13,"")</f>
        <v>0</v>
      </c>
      <c r="K78" s="287"/>
      <c r="L78" s="287">
        <f>IF('Gardiner Basin Counts'!F13&lt;&gt;"",'Gardiner Basin Counts'!F13,"")</f>
        <v>0</v>
      </c>
      <c r="M78" s="287"/>
      <c r="N78" s="287">
        <f>IF('Gardiner Basin Counts'!G13&lt;&gt;"",'Gardiner Basin Counts'!G13,"")</f>
        <v>35</v>
      </c>
      <c r="O78" s="287"/>
      <c r="P78" s="34"/>
      <c r="Q78" s="34"/>
    </row>
    <row r="79" spans="2:18">
      <c r="B79" s="34"/>
      <c r="C79" s="78">
        <f>IF('Gardiner Basin Counts'!A14&lt;&gt;"",'Gardiner Basin Counts'!A14,"")</f>
        <v>44656</v>
      </c>
      <c r="D79" s="287">
        <f>IF('Gardiner Basin Counts'!B14&lt;&gt;"",'Gardiner Basin Counts'!B14,"")</f>
        <v>51</v>
      </c>
      <c r="E79" s="287"/>
      <c r="F79" s="287">
        <f>IF('Gardiner Basin Counts'!C14&lt;&gt;"",'Gardiner Basin Counts'!C14,"")</f>
        <v>0</v>
      </c>
      <c r="G79" s="287"/>
      <c r="H79" s="287">
        <f>IF('Gardiner Basin Counts'!D14&lt;&gt;"",'Gardiner Basin Counts'!D14,"")</f>
        <v>0</v>
      </c>
      <c r="I79" s="287"/>
      <c r="J79" s="287">
        <f>IF('Gardiner Basin Counts'!E14&lt;&gt;"",'Gardiner Basin Counts'!E14,"")</f>
        <v>0</v>
      </c>
      <c r="K79" s="287"/>
      <c r="L79" s="287">
        <f>IF('Gardiner Basin Counts'!F14&lt;&gt;"",'Gardiner Basin Counts'!F14,"")</f>
        <v>0</v>
      </c>
      <c r="M79" s="287"/>
      <c r="N79" s="287">
        <f>IF('Gardiner Basin Counts'!G14&lt;&gt;"",'Gardiner Basin Counts'!G14,"")</f>
        <v>51</v>
      </c>
      <c r="O79" s="287"/>
      <c r="P79" s="34"/>
      <c r="Q79" s="34"/>
    </row>
    <row r="80" spans="2:18">
      <c r="B80" s="34"/>
      <c r="C80" s="78">
        <f>IF('Gardiner Basin Counts'!A15&lt;&gt;"",'Gardiner Basin Counts'!A15,"")</f>
        <v>44664</v>
      </c>
      <c r="D80" s="287">
        <f>IF('Gardiner Basin Counts'!B15&lt;&gt;"",'Gardiner Basin Counts'!B15,"")</f>
        <v>75</v>
      </c>
      <c r="E80" s="287"/>
      <c r="F80" s="287">
        <f>IF('Gardiner Basin Counts'!C15&lt;&gt;"",'Gardiner Basin Counts'!C15,"")</f>
        <v>8</v>
      </c>
      <c r="G80" s="287"/>
      <c r="H80" s="287">
        <f>IF('Gardiner Basin Counts'!D15&lt;&gt;"",'Gardiner Basin Counts'!D15,"")</f>
        <v>0</v>
      </c>
      <c r="I80" s="287"/>
      <c r="J80" s="287">
        <f>IF('Gardiner Basin Counts'!E15&lt;&gt;"",'Gardiner Basin Counts'!E15,"")</f>
        <v>0</v>
      </c>
      <c r="K80" s="287"/>
      <c r="L80" s="287">
        <f>IF('Gardiner Basin Counts'!F15&lt;&gt;"",'Gardiner Basin Counts'!F15,"")</f>
        <v>0</v>
      </c>
      <c r="M80" s="287"/>
      <c r="N80" s="287">
        <f>IF('Gardiner Basin Counts'!G15&lt;&gt;"",'Gardiner Basin Counts'!G15,"")</f>
        <v>83</v>
      </c>
      <c r="O80" s="287"/>
      <c r="P80" s="34"/>
      <c r="Q80" s="34"/>
    </row>
    <row r="81" spans="2:17">
      <c r="B81" s="34"/>
      <c r="C81" s="34"/>
      <c r="D81" s="34"/>
      <c r="E81" s="34"/>
      <c r="F81" s="34"/>
      <c r="G81" s="34"/>
      <c r="H81" s="34"/>
      <c r="I81" s="34"/>
      <c r="J81" s="34"/>
      <c r="K81" s="34"/>
      <c r="L81" s="34"/>
      <c r="M81" s="34"/>
      <c r="N81" s="34"/>
      <c r="O81" s="34"/>
      <c r="P81" s="34"/>
      <c r="Q81" s="34"/>
    </row>
    <row r="82" spans="2:17">
      <c r="B82" s="34"/>
      <c r="C82" s="34"/>
      <c r="D82" s="34"/>
      <c r="E82" s="34"/>
      <c r="F82" s="34"/>
      <c r="G82" s="34"/>
      <c r="H82" s="34"/>
      <c r="I82" s="34"/>
      <c r="J82" s="34"/>
      <c r="K82" s="34"/>
      <c r="L82" s="34"/>
      <c r="M82" s="34"/>
      <c r="N82" s="34"/>
      <c r="O82" s="34"/>
      <c r="P82" s="34"/>
      <c r="Q82" s="34"/>
    </row>
    <row r="83" spans="2:17">
      <c r="B83" s="34"/>
      <c r="C83" s="34"/>
      <c r="D83" s="34"/>
      <c r="E83" s="34"/>
      <c r="F83" s="34"/>
      <c r="G83" s="34"/>
      <c r="H83" s="34"/>
      <c r="I83" s="34"/>
      <c r="J83" s="34"/>
      <c r="K83" s="34"/>
      <c r="L83" s="34"/>
      <c r="M83" s="34"/>
      <c r="N83" s="34"/>
      <c r="O83" s="34"/>
      <c r="P83" s="34"/>
      <c r="Q83" s="34"/>
    </row>
    <row r="84" spans="2:17">
      <c r="B84" s="34"/>
      <c r="C84" s="34"/>
      <c r="D84" s="34"/>
      <c r="E84" s="34"/>
      <c r="F84" s="34"/>
      <c r="G84" s="34"/>
      <c r="H84" s="34"/>
      <c r="I84" s="34"/>
      <c r="J84" s="34"/>
      <c r="K84" s="34"/>
      <c r="L84" s="34"/>
      <c r="M84" s="34"/>
      <c r="N84" s="34"/>
      <c r="O84" s="34"/>
      <c r="P84" s="34"/>
      <c r="Q84" s="34"/>
    </row>
  </sheetData>
  <sheetProtection selectLockedCells="1"/>
  <mergeCells count="166">
    <mergeCell ref="D80:E80"/>
    <mergeCell ref="F80:G80"/>
    <mergeCell ref="H80:I80"/>
    <mergeCell ref="J80:K80"/>
    <mergeCell ref="L80:M80"/>
    <mergeCell ref="N80:O80"/>
    <mergeCell ref="D79:E79"/>
    <mergeCell ref="F79:G79"/>
    <mergeCell ref="H79:I79"/>
    <mergeCell ref="J79:K79"/>
    <mergeCell ref="L79:M79"/>
    <mergeCell ref="N79:O79"/>
    <mergeCell ref="D78:E78"/>
    <mergeCell ref="F78:G78"/>
    <mergeCell ref="H78:I78"/>
    <mergeCell ref="J78:K78"/>
    <mergeCell ref="L78:M78"/>
    <mergeCell ref="N78:O78"/>
    <mergeCell ref="D77:E77"/>
    <mergeCell ref="F77:G77"/>
    <mergeCell ref="H77:I77"/>
    <mergeCell ref="J77:K77"/>
    <mergeCell ref="L77:M77"/>
    <mergeCell ref="N77:O77"/>
    <mergeCell ref="D76:E76"/>
    <mergeCell ref="F76:G76"/>
    <mergeCell ref="H76:I76"/>
    <mergeCell ref="J76:K76"/>
    <mergeCell ref="L76:M76"/>
    <mergeCell ref="N76:O76"/>
    <mergeCell ref="D75:E75"/>
    <mergeCell ref="F75:G75"/>
    <mergeCell ref="H75:I75"/>
    <mergeCell ref="J75:K75"/>
    <mergeCell ref="L75:M75"/>
    <mergeCell ref="N75:O75"/>
    <mergeCell ref="D74:E74"/>
    <mergeCell ref="F74:G74"/>
    <mergeCell ref="H74:I74"/>
    <mergeCell ref="J74:K74"/>
    <mergeCell ref="L74:M74"/>
    <mergeCell ref="N74:O74"/>
    <mergeCell ref="D73:E73"/>
    <mergeCell ref="F73:G73"/>
    <mergeCell ref="H73:I73"/>
    <mergeCell ref="J73:K73"/>
    <mergeCell ref="L73:M73"/>
    <mergeCell ref="N73:O73"/>
    <mergeCell ref="D72:E72"/>
    <mergeCell ref="F72:G72"/>
    <mergeCell ref="H72:I72"/>
    <mergeCell ref="J72:K72"/>
    <mergeCell ref="L72:M72"/>
    <mergeCell ref="N72:O72"/>
    <mergeCell ref="D71:E71"/>
    <mergeCell ref="F71:G71"/>
    <mergeCell ref="H71:I71"/>
    <mergeCell ref="J71:K71"/>
    <mergeCell ref="L71:M71"/>
    <mergeCell ref="N71:O71"/>
    <mergeCell ref="D70:E70"/>
    <mergeCell ref="F70:G70"/>
    <mergeCell ref="H70:I70"/>
    <mergeCell ref="J70:K70"/>
    <mergeCell ref="L70:M70"/>
    <mergeCell ref="N70:O70"/>
    <mergeCell ref="D69:E69"/>
    <mergeCell ref="F69:G69"/>
    <mergeCell ref="H69:I69"/>
    <mergeCell ref="J69:K69"/>
    <mergeCell ref="L69:M69"/>
    <mergeCell ref="N69:O69"/>
    <mergeCell ref="D68:E68"/>
    <mergeCell ref="F68:G68"/>
    <mergeCell ref="H68:I68"/>
    <mergeCell ref="J68:K68"/>
    <mergeCell ref="L68:M68"/>
    <mergeCell ref="N68:O68"/>
    <mergeCell ref="D67:E67"/>
    <mergeCell ref="F67:G67"/>
    <mergeCell ref="H67:I67"/>
    <mergeCell ref="J67:K67"/>
    <mergeCell ref="L67:M67"/>
    <mergeCell ref="N67:O67"/>
    <mergeCell ref="E61:J61"/>
    <mergeCell ref="K61:P61"/>
    <mergeCell ref="B63:Q64"/>
    <mergeCell ref="D66:E66"/>
    <mergeCell ref="F66:G66"/>
    <mergeCell ref="H66:I66"/>
    <mergeCell ref="J66:K66"/>
    <mergeCell ref="L66:M66"/>
    <mergeCell ref="N66:O66"/>
    <mergeCell ref="C56:D56"/>
    <mergeCell ref="C57:D57"/>
    <mergeCell ref="C58:D58"/>
    <mergeCell ref="C59:D59"/>
    <mergeCell ref="C60:D60"/>
    <mergeCell ref="C61:D61"/>
    <mergeCell ref="C50:D50"/>
    <mergeCell ref="C51:D51"/>
    <mergeCell ref="C52:D52"/>
    <mergeCell ref="C53:D53"/>
    <mergeCell ref="C54:D54"/>
    <mergeCell ref="C55:D55"/>
    <mergeCell ref="I46:J46"/>
    <mergeCell ref="K46:L46"/>
    <mergeCell ref="M46:N46"/>
    <mergeCell ref="O46:P46"/>
    <mergeCell ref="C48:D48"/>
    <mergeCell ref="C49:D49"/>
    <mergeCell ref="C38:L38"/>
    <mergeCell ref="M38:O38"/>
    <mergeCell ref="C39:L40"/>
    <mergeCell ref="M39:O40"/>
    <mergeCell ref="B43:P43"/>
    <mergeCell ref="C45:D47"/>
    <mergeCell ref="E45:J45"/>
    <mergeCell ref="K45:P45"/>
    <mergeCell ref="E46:F46"/>
    <mergeCell ref="G46:H46"/>
    <mergeCell ref="C35:L35"/>
    <mergeCell ref="M35:O35"/>
    <mergeCell ref="C36:L36"/>
    <mergeCell ref="M36:O36"/>
    <mergeCell ref="C37:L37"/>
    <mergeCell ref="M37:O37"/>
    <mergeCell ref="C32:L32"/>
    <mergeCell ref="M32:O32"/>
    <mergeCell ref="C33:L33"/>
    <mergeCell ref="M33:O33"/>
    <mergeCell ref="C34:L34"/>
    <mergeCell ref="M34:O34"/>
    <mergeCell ref="F26:K26"/>
    <mergeCell ref="L26:Q26"/>
    <mergeCell ref="C17:E17"/>
    <mergeCell ref="C18:E18"/>
    <mergeCell ref="B19:B22"/>
    <mergeCell ref="C19:E19"/>
    <mergeCell ref="C20:E20"/>
    <mergeCell ref="C21:E21"/>
    <mergeCell ref="C22:E22"/>
    <mergeCell ref="B10:B18"/>
    <mergeCell ref="C10:E10"/>
    <mergeCell ref="C11:E11"/>
    <mergeCell ref="C12:E12"/>
    <mergeCell ref="C13:E13"/>
    <mergeCell ref="C14:E14"/>
    <mergeCell ref="C15:E15"/>
    <mergeCell ref="C16:E16"/>
    <mergeCell ref="B23:B26"/>
    <mergeCell ref="C23:E23"/>
    <mergeCell ref="C24:E24"/>
    <mergeCell ref="C25:E25"/>
    <mergeCell ref="B1:Q1"/>
    <mergeCell ref="B3:Q6"/>
    <mergeCell ref="B7:B9"/>
    <mergeCell ref="C7:E9"/>
    <mergeCell ref="F7:K7"/>
    <mergeCell ref="L7:Q7"/>
    <mergeCell ref="F8:G8"/>
    <mergeCell ref="H8:I8"/>
    <mergeCell ref="J8:K8"/>
    <mergeCell ref="L8:M8"/>
    <mergeCell ref="N8:O8"/>
    <mergeCell ref="P8:Q8"/>
  </mergeCells>
  <pageMargins left="0.25" right="0.25" top="0.75" bottom="0.75" header="0.3" footer="0.3"/>
  <pageSetup orientation="portrait" horizontalDpi="203" verticalDpi="203" r:id="rId1"/>
  <headerFooter>
    <oddHeader>&amp;L&amp;"Times New Roman,Regular"&amp;K00-016Yellowstone Bison Management Field Operations Summary&amp;R&amp;"Times New Roman,Regular"&amp;K00-020February 24, 2022</oddHeader>
  </headerFooter>
  <ignoredErrors>
    <ignoredError sqref="M23 O23" formulaRange="1"/>
    <ignoredError sqref="J24"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1A6AC-0284-46F4-9D6E-96D96FDB05B9}">
  <dimension ref="A1:P100"/>
  <sheetViews>
    <sheetView zoomScaleNormal="100" workbookViewId="0">
      <pane ySplit="27" topLeftCell="A28" activePane="bottomLeft" state="frozen"/>
      <selection pane="bottomLeft" activeCell="H13" sqref="H13"/>
    </sheetView>
  </sheetViews>
  <sheetFormatPr defaultColWidth="9.140625" defaultRowHeight="13.15"/>
  <cols>
    <col min="1" max="1" width="20.5703125" style="79" bestFit="1" customWidth="1"/>
    <col min="2" max="5" width="8.7109375" style="85" customWidth="1"/>
    <col min="6" max="10" width="8.7109375" style="79" customWidth="1"/>
    <col min="11" max="11" width="9.140625" style="79"/>
    <col min="12" max="12" width="11.5703125" style="79" customWidth="1"/>
    <col min="13" max="13" width="8.28515625" style="79" customWidth="1"/>
    <col min="14" max="14" width="9.5703125" style="79" customWidth="1"/>
    <col min="15" max="15" width="9.140625" style="79"/>
    <col min="16" max="16" width="9.140625" style="177"/>
    <col min="17" max="16384" width="9.140625" style="79"/>
  </cols>
  <sheetData>
    <row r="1" spans="1:15">
      <c r="A1" s="119"/>
      <c r="B1" s="120"/>
      <c r="C1" s="120"/>
      <c r="D1" s="120"/>
      <c r="E1" s="120"/>
      <c r="F1" s="119"/>
      <c r="G1" s="119"/>
      <c r="H1" s="119"/>
      <c r="I1" s="119"/>
      <c r="J1" s="119"/>
      <c r="K1" s="119"/>
      <c r="L1" s="119"/>
      <c r="M1" s="119"/>
      <c r="N1" s="119"/>
      <c r="O1" s="119"/>
    </row>
    <row r="2" spans="1:15" ht="13.9" thickBot="1">
      <c r="A2" s="159" t="s">
        <v>52</v>
      </c>
      <c r="B2" s="120"/>
      <c r="C2" s="120"/>
      <c r="D2" s="120"/>
      <c r="E2" s="120"/>
      <c r="F2" s="119"/>
      <c r="G2" s="119"/>
      <c r="H2" s="119"/>
      <c r="I2" s="119"/>
      <c r="J2" s="119"/>
      <c r="K2" s="119"/>
      <c r="L2" s="119"/>
      <c r="M2" s="119"/>
      <c r="N2" s="119"/>
      <c r="O2" s="119"/>
    </row>
    <row r="3" spans="1:15" ht="15" customHeight="1" thickBot="1">
      <c r="A3" s="299" t="s">
        <v>53</v>
      </c>
      <c r="B3" s="296"/>
      <c r="C3" s="302" t="s">
        <v>4</v>
      </c>
      <c r="D3" s="302"/>
      <c r="E3" s="302"/>
      <c r="F3" s="303"/>
      <c r="G3" s="304" t="s">
        <v>5</v>
      </c>
      <c r="H3" s="302"/>
      <c r="I3" s="302"/>
      <c r="J3" s="305"/>
      <c r="K3" s="121"/>
      <c r="L3" s="291" t="s">
        <v>54</v>
      </c>
      <c r="M3" s="292"/>
      <c r="N3" s="292"/>
      <c r="O3" s="293"/>
    </row>
    <row r="4" spans="1:15" ht="26.45">
      <c r="A4" s="300"/>
      <c r="B4" s="297"/>
      <c r="C4" s="169" t="s">
        <v>6</v>
      </c>
      <c r="D4" s="169" t="s">
        <v>7</v>
      </c>
      <c r="E4" s="306" t="s">
        <v>8</v>
      </c>
      <c r="F4" s="307"/>
      <c r="G4" s="80" t="s">
        <v>6</v>
      </c>
      <c r="H4" s="169" t="s">
        <v>7</v>
      </c>
      <c r="I4" s="306" t="s">
        <v>8</v>
      </c>
      <c r="J4" s="308"/>
      <c r="K4" s="121"/>
      <c r="L4" s="294" t="s">
        <v>2</v>
      </c>
      <c r="M4" s="295"/>
      <c r="N4" s="103" t="s">
        <v>55</v>
      </c>
      <c r="O4" s="104" t="s">
        <v>56</v>
      </c>
    </row>
    <row r="5" spans="1:15">
      <c r="A5" s="301"/>
      <c r="B5" s="297"/>
      <c r="C5" s="154" t="s">
        <v>40</v>
      </c>
      <c r="D5" s="154" t="s">
        <v>40</v>
      </c>
      <c r="E5" s="154" t="s">
        <v>8</v>
      </c>
      <c r="F5" s="155" t="s">
        <v>42</v>
      </c>
      <c r="G5" s="153" t="s">
        <v>40</v>
      </c>
      <c r="H5" s="154" t="s">
        <v>40</v>
      </c>
      <c r="I5" s="154" t="s">
        <v>8</v>
      </c>
      <c r="J5" s="160" t="s">
        <v>42</v>
      </c>
      <c r="K5" s="121"/>
      <c r="L5" s="89"/>
      <c r="M5" s="128"/>
      <c r="N5" s="90"/>
      <c r="O5" s="91"/>
    </row>
    <row r="6" spans="1:15">
      <c r="A6" s="81" t="s">
        <v>57</v>
      </c>
      <c r="B6" s="100"/>
      <c r="C6" s="87">
        <v>1</v>
      </c>
      <c r="D6" s="87">
        <v>0</v>
      </c>
      <c r="E6" s="87">
        <v>0</v>
      </c>
      <c r="F6" s="87">
        <v>0</v>
      </c>
      <c r="G6" s="86">
        <v>1</v>
      </c>
      <c r="H6" s="87">
        <v>0</v>
      </c>
      <c r="I6" s="87">
        <v>0</v>
      </c>
      <c r="J6" s="88">
        <v>0</v>
      </c>
      <c r="K6" s="121"/>
      <c r="L6" s="89"/>
      <c r="M6" s="128"/>
      <c r="N6" s="90"/>
      <c r="O6" s="91"/>
    </row>
    <row r="7" spans="1:15">
      <c r="A7" s="81" t="s">
        <v>58</v>
      </c>
      <c r="B7" s="100"/>
      <c r="C7" s="87">
        <v>0</v>
      </c>
      <c r="D7" s="87">
        <v>0</v>
      </c>
      <c r="E7" s="87">
        <v>0</v>
      </c>
      <c r="F7" s="87">
        <v>0</v>
      </c>
      <c r="G7" s="86">
        <v>0</v>
      </c>
      <c r="H7" s="87">
        <v>0</v>
      </c>
      <c r="I7" s="87">
        <v>0</v>
      </c>
      <c r="J7" s="88">
        <v>0</v>
      </c>
      <c r="K7" s="121"/>
      <c r="L7" s="89"/>
      <c r="M7" s="128"/>
      <c r="N7" s="90"/>
      <c r="O7" s="91"/>
    </row>
    <row r="8" spans="1:15">
      <c r="A8" s="81" t="s">
        <v>59</v>
      </c>
      <c r="B8" s="100"/>
      <c r="C8" s="87">
        <v>1</v>
      </c>
      <c r="D8" s="87">
        <v>0</v>
      </c>
      <c r="E8" s="87">
        <v>0</v>
      </c>
      <c r="F8" s="87">
        <v>0</v>
      </c>
      <c r="G8" s="86">
        <v>0</v>
      </c>
      <c r="H8" s="87">
        <v>0</v>
      </c>
      <c r="I8" s="87">
        <v>0</v>
      </c>
      <c r="J8" s="88">
        <v>0</v>
      </c>
      <c r="K8" s="121"/>
      <c r="L8" s="89"/>
      <c r="M8" s="128"/>
      <c r="N8" s="90"/>
      <c r="O8" s="91"/>
    </row>
    <row r="9" spans="1:15">
      <c r="A9" s="81" t="s">
        <v>60</v>
      </c>
      <c r="B9" s="100"/>
      <c r="C9" s="87">
        <v>1</v>
      </c>
      <c r="D9" s="87">
        <v>0</v>
      </c>
      <c r="E9" s="87">
        <v>0</v>
      </c>
      <c r="F9" s="87">
        <v>0</v>
      </c>
      <c r="G9" s="86">
        <v>0</v>
      </c>
      <c r="H9" s="87">
        <v>0</v>
      </c>
      <c r="I9" s="87">
        <v>0</v>
      </c>
      <c r="J9" s="88">
        <v>0</v>
      </c>
      <c r="K9" s="121"/>
      <c r="L9" s="92"/>
      <c r="M9" s="129"/>
      <c r="N9" s="90"/>
      <c r="O9" s="91"/>
    </row>
    <row r="10" spans="1:15">
      <c r="A10" s="81" t="s">
        <v>61</v>
      </c>
      <c r="B10" s="100"/>
      <c r="C10" s="87">
        <v>0</v>
      </c>
      <c r="D10" s="87">
        <v>0</v>
      </c>
      <c r="E10" s="87">
        <v>0</v>
      </c>
      <c r="F10" s="87">
        <v>0</v>
      </c>
      <c r="G10" s="86">
        <v>0</v>
      </c>
      <c r="H10" s="87">
        <v>0</v>
      </c>
      <c r="I10" s="87">
        <v>0</v>
      </c>
      <c r="J10" s="88">
        <v>0</v>
      </c>
      <c r="K10" s="121"/>
      <c r="L10" s="89"/>
      <c r="M10" s="128"/>
      <c r="N10" s="90"/>
      <c r="O10" s="91"/>
    </row>
    <row r="11" spans="1:15">
      <c r="A11" s="81" t="s">
        <v>62</v>
      </c>
      <c r="B11" s="100"/>
      <c r="C11" s="87">
        <v>0</v>
      </c>
      <c r="D11" s="87">
        <v>0</v>
      </c>
      <c r="E11" s="87">
        <v>0</v>
      </c>
      <c r="F11" s="87">
        <v>0</v>
      </c>
      <c r="G11" s="86">
        <v>0</v>
      </c>
      <c r="H11" s="87">
        <v>0</v>
      </c>
      <c r="I11" s="87">
        <v>0</v>
      </c>
      <c r="J11" s="88">
        <v>0</v>
      </c>
      <c r="K11" s="121"/>
      <c r="L11" s="89"/>
      <c r="M11" s="128"/>
      <c r="N11" s="90"/>
      <c r="O11" s="91"/>
    </row>
    <row r="12" spans="1:15">
      <c r="A12" s="81" t="s">
        <v>63</v>
      </c>
      <c r="B12" s="100"/>
      <c r="C12" s="87">
        <v>0</v>
      </c>
      <c r="D12" s="87">
        <v>0</v>
      </c>
      <c r="E12" s="87">
        <v>0</v>
      </c>
      <c r="F12" s="87">
        <v>0</v>
      </c>
      <c r="G12" s="86">
        <v>1</v>
      </c>
      <c r="H12" s="87">
        <v>5</v>
      </c>
      <c r="I12" s="87">
        <v>0</v>
      </c>
      <c r="J12" s="88">
        <v>0</v>
      </c>
      <c r="K12" s="121"/>
      <c r="L12" s="89"/>
      <c r="M12" s="128"/>
      <c r="N12" s="90"/>
      <c r="O12" s="91"/>
    </row>
    <row r="13" spans="1:15">
      <c r="A13" s="81" t="s">
        <v>64</v>
      </c>
      <c r="B13" s="100"/>
      <c r="C13" s="87">
        <v>0</v>
      </c>
      <c r="D13" s="87">
        <v>3</v>
      </c>
      <c r="E13" s="87">
        <v>0</v>
      </c>
      <c r="F13" s="87">
        <v>0</v>
      </c>
      <c r="G13" s="86">
        <v>0</v>
      </c>
      <c r="H13" s="87">
        <v>0</v>
      </c>
      <c r="I13" s="87">
        <v>0</v>
      </c>
      <c r="J13" s="88">
        <v>0</v>
      </c>
      <c r="K13" s="121"/>
      <c r="L13" s="89"/>
      <c r="M13" s="128"/>
      <c r="N13" s="93"/>
      <c r="O13" s="91"/>
    </row>
    <row r="14" spans="1:15">
      <c r="A14" s="81" t="s">
        <v>65</v>
      </c>
      <c r="B14" s="100"/>
      <c r="C14" s="87">
        <v>0</v>
      </c>
      <c r="D14" s="87">
        <v>0</v>
      </c>
      <c r="E14" s="87">
        <v>0</v>
      </c>
      <c r="F14" s="87">
        <v>0</v>
      </c>
      <c r="G14" s="86">
        <v>0</v>
      </c>
      <c r="H14" s="87">
        <v>0</v>
      </c>
      <c r="I14" s="87">
        <v>0</v>
      </c>
      <c r="J14" s="88">
        <v>0</v>
      </c>
      <c r="K14" s="121"/>
      <c r="L14" s="89"/>
      <c r="M14" s="128"/>
      <c r="N14" s="93"/>
      <c r="O14" s="91"/>
    </row>
    <row r="15" spans="1:15">
      <c r="A15" s="81" t="s">
        <v>66</v>
      </c>
      <c r="B15" s="100"/>
      <c r="C15" s="87">
        <v>0</v>
      </c>
      <c r="D15" s="87">
        <v>0</v>
      </c>
      <c r="E15" s="87">
        <v>0</v>
      </c>
      <c r="F15" s="87">
        <v>0</v>
      </c>
      <c r="G15" s="86">
        <v>0</v>
      </c>
      <c r="H15" s="87">
        <v>0</v>
      </c>
      <c r="I15" s="87">
        <v>0</v>
      </c>
      <c r="J15" s="88">
        <v>0</v>
      </c>
      <c r="K15" s="121"/>
      <c r="L15" s="89"/>
      <c r="M15" s="128"/>
      <c r="N15" s="93"/>
      <c r="O15" s="91"/>
    </row>
    <row r="16" spans="1:15">
      <c r="A16" s="81" t="s">
        <v>67</v>
      </c>
      <c r="B16" s="100"/>
      <c r="C16" s="87">
        <v>0</v>
      </c>
      <c r="D16" s="87">
        <v>0</v>
      </c>
      <c r="E16" s="87">
        <v>0</v>
      </c>
      <c r="F16" s="87">
        <v>0</v>
      </c>
      <c r="G16" s="86">
        <v>0</v>
      </c>
      <c r="H16" s="87">
        <v>0</v>
      </c>
      <c r="I16" s="87">
        <v>0</v>
      </c>
      <c r="J16" s="88">
        <v>0</v>
      </c>
      <c r="K16" s="121"/>
      <c r="L16" s="89"/>
      <c r="M16" s="128"/>
      <c r="N16" s="93"/>
      <c r="O16" s="91"/>
    </row>
    <row r="17" spans="1:16">
      <c r="A17" s="81" t="s">
        <v>68</v>
      </c>
      <c r="B17" s="100"/>
      <c r="C17" s="87">
        <v>0</v>
      </c>
      <c r="D17" s="87">
        <v>0</v>
      </c>
      <c r="E17" s="87">
        <v>0</v>
      </c>
      <c r="F17" s="87">
        <v>0</v>
      </c>
      <c r="G17" s="86">
        <v>0</v>
      </c>
      <c r="H17" s="87">
        <v>0</v>
      </c>
      <c r="I17" s="87">
        <v>0</v>
      </c>
      <c r="J17" s="88">
        <v>0</v>
      </c>
      <c r="K17" s="121"/>
      <c r="L17" s="89"/>
      <c r="M17" s="128"/>
      <c r="N17" s="93"/>
      <c r="O17" s="91"/>
    </row>
    <row r="18" spans="1:16">
      <c r="A18" s="161" t="s">
        <v>27</v>
      </c>
      <c r="B18" s="101"/>
      <c r="C18" s="156">
        <f t="shared" ref="C18:J18" si="0">SUM(C6:C17)</f>
        <v>3</v>
      </c>
      <c r="D18" s="156">
        <f t="shared" si="0"/>
        <v>3</v>
      </c>
      <c r="E18" s="156">
        <f t="shared" si="0"/>
        <v>0</v>
      </c>
      <c r="F18" s="157">
        <f t="shared" si="0"/>
        <v>0</v>
      </c>
      <c r="G18" s="158">
        <f t="shared" si="0"/>
        <v>2</v>
      </c>
      <c r="H18" s="156">
        <f t="shared" si="0"/>
        <v>5</v>
      </c>
      <c r="I18" s="156">
        <f t="shared" si="0"/>
        <v>0</v>
      </c>
      <c r="J18" s="162">
        <f t="shared" si="0"/>
        <v>0</v>
      </c>
      <c r="K18" s="122"/>
      <c r="L18" s="89"/>
      <c r="M18" s="128"/>
      <c r="N18" s="93"/>
      <c r="O18" s="91"/>
    </row>
    <row r="19" spans="1:16" ht="13.9" thickBot="1">
      <c r="A19" s="82" t="s">
        <v>45</v>
      </c>
      <c r="B19" s="83"/>
      <c r="C19" s="309">
        <f>SUM(C18:F18)</f>
        <v>6</v>
      </c>
      <c r="D19" s="309"/>
      <c r="E19" s="309"/>
      <c r="F19" s="310"/>
      <c r="G19" s="311">
        <f>SUM(G18:J18)</f>
        <v>7</v>
      </c>
      <c r="H19" s="309"/>
      <c r="I19" s="309"/>
      <c r="J19" s="312"/>
      <c r="K19" s="121"/>
      <c r="L19" s="94"/>
      <c r="M19" s="95"/>
      <c r="N19" s="95"/>
      <c r="O19" s="96"/>
    </row>
    <row r="20" spans="1:16">
      <c r="A20" s="150"/>
      <c r="B20" s="150"/>
      <c r="C20" s="151"/>
      <c r="D20" s="151"/>
      <c r="E20" s="151"/>
      <c r="F20" s="151"/>
      <c r="G20" s="151"/>
      <c r="H20" s="151"/>
      <c r="I20" s="151"/>
      <c r="J20" s="151"/>
      <c r="K20" s="121"/>
      <c r="L20" s="152"/>
      <c r="M20" s="152"/>
      <c r="N20" s="125" t="s">
        <v>45</v>
      </c>
      <c r="O20" s="123">
        <f>SUM(O5:O19)</f>
        <v>0</v>
      </c>
    </row>
    <row r="21" spans="1:16" ht="15" customHeight="1">
      <c r="A21" s="121"/>
      <c r="B21" s="123"/>
      <c r="C21" s="123"/>
      <c r="D21" s="123"/>
      <c r="E21" s="123"/>
      <c r="F21" s="121"/>
      <c r="G21" s="126"/>
      <c r="H21" s="125" t="s">
        <v>69</v>
      </c>
      <c r="I21" s="298">
        <f ca="1">TODAY()</f>
        <v>45992</v>
      </c>
      <c r="J21" s="298"/>
      <c r="K21" s="298"/>
      <c r="L21" s="121"/>
      <c r="M21" s="121"/>
      <c r="N21" s="119"/>
      <c r="O21" s="119"/>
    </row>
    <row r="22" spans="1:16">
      <c r="A22" s="121"/>
      <c r="B22" s="123"/>
      <c r="C22" s="124" t="s">
        <v>70</v>
      </c>
      <c r="D22" s="102">
        <f>SUM(E28:E104)</f>
        <v>6</v>
      </c>
      <c r="E22" s="123"/>
      <c r="F22" s="121"/>
      <c r="G22" s="121"/>
      <c r="H22" s="121"/>
      <c r="I22" s="121"/>
      <c r="J22" s="121"/>
      <c r="K22" s="121"/>
      <c r="L22" s="119"/>
      <c r="M22" s="119"/>
      <c r="N22" s="119"/>
      <c r="O22" s="119"/>
    </row>
    <row r="23" spans="1:16">
      <c r="A23" s="121"/>
      <c r="B23" s="123"/>
      <c r="C23" s="124"/>
      <c r="D23" s="122"/>
      <c r="E23" s="123"/>
      <c r="F23" s="121"/>
      <c r="G23" s="121"/>
      <c r="H23" s="121"/>
      <c r="I23" s="121"/>
      <c r="J23" s="121"/>
      <c r="K23" s="121"/>
      <c r="L23" s="119"/>
      <c r="M23" s="119"/>
      <c r="N23" s="119"/>
      <c r="O23" s="119"/>
    </row>
    <row r="24" spans="1:16" ht="25.5" customHeight="1">
      <c r="A24" s="179" t="s">
        <v>71</v>
      </c>
      <c r="B24" s="179"/>
      <c r="C24" s="179"/>
      <c r="D24" s="179"/>
      <c r="E24" s="179"/>
      <c r="F24" s="179"/>
      <c r="G24" s="179"/>
      <c r="H24" s="179"/>
      <c r="I24" s="179"/>
      <c r="J24" s="179"/>
      <c r="K24" s="179"/>
      <c r="L24" s="179"/>
      <c r="M24" s="179"/>
      <c r="N24" s="179"/>
      <c r="O24" s="179"/>
      <c r="P24" s="180"/>
    </row>
    <row r="25" spans="1:16">
      <c r="A25" s="127"/>
      <c r="B25" s="127"/>
      <c r="C25" s="127"/>
      <c r="D25" s="127"/>
      <c r="E25" s="127"/>
      <c r="F25" s="127"/>
      <c r="G25" s="127"/>
      <c r="H25" s="127"/>
      <c r="I25" s="127"/>
      <c r="J25" s="127"/>
      <c r="K25" s="121"/>
      <c r="L25" s="119"/>
      <c r="M25" s="119"/>
      <c r="N25" s="119"/>
      <c r="O25" s="119"/>
    </row>
    <row r="26" spans="1:16" ht="13.9" thickBot="1">
      <c r="A26" s="126" t="s">
        <v>72</v>
      </c>
      <c r="B26" s="122"/>
      <c r="C26" s="119"/>
      <c r="D26" s="123"/>
      <c r="E26" s="123"/>
      <c r="F26" s="121"/>
      <c r="G26" s="121"/>
      <c r="H26" s="121"/>
      <c r="I26" s="121"/>
      <c r="J26" s="121"/>
      <c r="K26" s="121"/>
      <c r="L26" s="119"/>
      <c r="M26" s="119"/>
      <c r="N26" s="119"/>
      <c r="O26" s="119"/>
    </row>
    <row r="27" spans="1:16" s="84" customFormat="1" ht="52.5" customHeight="1" thickBot="1">
      <c r="A27" s="135" t="s">
        <v>2</v>
      </c>
      <c r="B27" s="136" t="s">
        <v>73</v>
      </c>
      <c r="C27" s="137" t="s">
        <v>74</v>
      </c>
      <c r="D27" s="137" t="s">
        <v>75</v>
      </c>
      <c r="E27" s="138" t="s">
        <v>56</v>
      </c>
      <c r="F27" s="138" t="s">
        <v>76</v>
      </c>
      <c r="G27" s="313" t="s">
        <v>77</v>
      </c>
      <c r="H27" s="292"/>
      <c r="I27" s="292"/>
      <c r="J27" s="292"/>
      <c r="K27" s="292"/>
      <c r="L27" s="292"/>
      <c r="M27" s="292"/>
      <c r="N27" s="292"/>
      <c r="O27" s="293"/>
      <c r="P27" s="178"/>
    </row>
    <row r="28" spans="1:16">
      <c r="A28" s="105" t="s">
        <v>78</v>
      </c>
      <c r="B28" s="106">
        <v>0</v>
      </c>
      <c r="C28" s="107">
        <v>0</v>
      </c>
      <c r="D28" s="107"/>
      <c r="E28" s="107">
        <v>1</v>
      </c>
      <c r="F28" s="107">
        <v>0</v>
      </c>
      <c r="G28" s="314" t="s">
        <v>79</v>
      </c>
      <c r="H28" s="315"/>
      <c r="I28" s="315"/>
      <c r="J28" s="315"/>
      <c r="K28" s="315"/>
      <c r="L28" s="315"/>
      <c r="M28" s="315"/>
      <c r="N28" s="315"/>
      <c r="O28" s="316"/>
    </row>
    <row r="29" spans="1:16">
      <c r="A29" s="97">
        <v>44577</v>
      </c>
      <c r="B29" s="98">
        <v>0</v>
      </c>
      <c r="C29" s="99">
        <v>0</v>
      </c>
      <c r="D29" s="99"/>
      <c r="E29" s="99">
        <v>1</v>
      </c>
      <c r="F29" s="99">
        <v>0</v>
      </c>
      <c r="G29" s="288" t="s">
        <v>80</v>
      </c>
      <c r="H29" s="289"/>
      <c r="I29" s="289"/>
      <c r="J29" s="289"/>
      <c r="K29" s="289"/>
      <c r="L29" s="289"/>
      <c r="M29" s="289"/>
      <c r="N29" s="289"/>
      <c r="O29" s="290"/>
    </row>
    <row r="30" spans="1:16">
      <c r="A30" s="97">
        <v>44608</v>
      </c>
      <c r="B30" s="98">
        <v>24</v>
      </c>
      <c r="C30" s="99">
        <v>0</v>
      </c>
      <c r="D30" s="99">
        <v>0</v>
      </c>
      <c r="E30" s="99">
        <v>0</v>
      </c>
      <c r="F30" s="99">
        <v>0</v>
      </c>
      <c r="G30" s="288"/>
      <c r="H30" s="289"/>
      <c r="I30" s="289"/>
      <c r="J30" s="289"/>
      <c r="K30" s="289"/>
      <c r="L30" s="289"/>
      <c r="M30" s="289"/>
      <c r="N30" s="289"/>
      <c r="O30" s="290"/>
    </row>
    <row r="31" spans="1:16">
      <c r="A31" s="97">
        <v>44609</v>
      </c>
      <c r="B31" s="98">
        <v>27</v>
      </c>
      <c r="C31" s="99">
        <v>0</v>
      </c>
      <c r="D31" s="99">
        <v>0</v>
      </c>
      <c r="E31" s="99">
        <v>0</v>
      </c>
      <c r="F31" s="99">
        <v>23</v>
      </c>
      <c r="G31" s="288"/>
      <c r="H31" s="289"/>
      <c r="I31" s="289"/>
      <c r="J31" s="289"/>
      <c r="K31" s="289"/>
      <c r="L31" s="289"/>
      <c r="M31" s="289"/>
      <c r="N31" s="289"/>
      <c r="O31" s="290"/>
    </row>
    <row r="32" spans="1:16">
      <c r="A32" s="97">
        <v>44610</v>
      </c>
      <c r="B32" s="98">
        <v>31</v>
      </c>
      <c r="C32" s="99">
        <v>0</v>
      </c>
      <c r="D32" s="99">
        <v>0</v>
      </c>
      <c r="E32" s="99">
        <v>0</v>
      </c>
      <c r="F32" s="99">
        <v>14</v>
      </c>
      <c r="G32" s="288"/>
      <c r="H32" s="289"/>
      <c r="I32" s="289"/>
      <c r="J32" s="289"/>
      <c r="K32" s="289"/>
      <c r="L32" s="289"/>
      <c r="M32" s="289"/>
      <c r="N32" s="289"/>
      <c r="O32" s="290"/>
    </row>
    <row r="33" spans="1:15">
      <c r="A33" s="97">
        <v>44611</v>
      </c>
      <c r="B33" s="98">
        <v>17</v>
      </c>
      <c r="C33" s="99">
        <v>0</v>
      </c>
      <c r="D33" s="99">
        <v>0</v>
      </c>
      <c r="E33" s="99">
        <v>0</v>
      </c>
      <c r="F33" s="99">
        <v>0</v>
      </c>
      <c r="G33" s="288"/>
      <c r="H33" s="289"/>
      <c r="I33" s="289"/>
      <c r="J33" s="289"/>
      <c r="K33" s="289"/>
      <c r="L33" s="289"/>
      <c r="M33" s="289"/>
      <c r="N33" s="289"/>
      <c r="O33" s="290"/>
    </row>
    <row r="34" spans="1:15">
      <c r="A34" s="97">
        <v>44612</v>
      </c>
      <c r="B34" s="98">
        <v>18</v>
      </c>
      <c r="C34" s="98">
        <v>0</v>
      </c>
      <c r="D34" s="98">
        <v>0</v>
      </c>
      <c r="E34" s="99">
        <v>0</v>
      </c>
      <c r="F34" s="99">
        <v>0</v>
      </c>
      <c r="G34" s="288"/>
      <c r="H34" s="289"/>
      <c r="I34" s="289"/>
      <c r="J34" s="289"/>
      <c r="K34" s="289"/>
      <c r="L34" s="289"/>
      <c r="M34" s="289"/>
      <c r="N34" s="289"/>
      <c r="O34" s="290"/>
    </row>
    <row r="35" spans="1:15">
      <c r="A35" s="97">
        <v>44613</v>
      </c>
      <c r="B35" s="98">
        <v>17</v>
      </c>
      <c r="C35" s="99">
        <v>0</v>
      </c>
      <c r="D35" s="99">
        <v>0</v>
      </c>
      <c r="E35" s="99">
        <v>0</v>
      </c>
      <c r="F35" s="99">
        <v>0</v>
      </c>
      <c r="G35" s="288"/>
      <c r="H35" s="289"/>
      <c r="I35" s="289"/>
      <c r="J35" s="289"/>
      <c r="K35" s="289"/>
      <c r="L35" s="289"/>
      <c r="M35" s="289"/>
      <c r="N35" s="289"/>
      <c r="O35" s="290"/>
    </row>
    <row r="36" spans="1:15">
      <c r="A36" s="97">
        <v>44614</v>
      </c>
      <c r="B36" s="98">
        <v>22</v>
      </c>
      <c r="C36" s="99">
        <v>0</v>
      </c>
      <c r="D36" s="99">
        <v>0</v>
      </c>
      <c r="E36" s="99">
        <v>0</v>
      </c>
      <c r="F36" s="99">
        <v>0</v>
      </c>
      <c r="G36" s="288" t="s">
        <v>81</v>
      </c>
      <c r="H36" s="289"/>
      <c r="I36" s="289"/>
      <c r="J36" s="289"/>
      <c r="K36" s="289"/>
      <c r="L36" s="289"/>
      <c r="M36" s="289"/>
      <c r="N36" s="289"/>
      <c r="O36" s="290"/>
    </row>
    <row r="37" spans="1:15">
      <c r="A37" s="97">
        <v>44615</v>
      </c>
      <c r="B37" s="98">
        <v>21</v>
      </c>
      <c r="C37" s="99">
        <v>0</v>
      </c>
      <c r="D37" s="99">
        <v>0</v>
      </c>
      <c r="E37" s="99">
        <v>0</v>
      </c>
      <c r="F37" s="99">
        <v>0</v>
      </c>
      <c r="G37" s="288"/>
      <c r="H37" s="289"/>
      <c r="I37" s="289"/>
      <c r="J37" s="289"/>
      <c r="K37" s="289"/>
      <c r="L37" s="289"/>
      <c r="M37" s="289"/>
      <c r="N37" s="289"/>
      <c r="O37" s="290"/>
    </row>
    <row r="38" spans="1:15">
      <c r="A38" s="97">
        <v>44616</v>
      </c>
      <c r="B38" s="98">
        <v>22</v>
      </c>
      <c r="C38" s="99">
        <v>0</v>
      </c>
      <c r="D38" s="99">
        <v>0</v>
      </c>
      <c r="E38" s="99">
        <v>0</v>
      </c>
      <c r="F38" s="99">
        <v>0</v>
      </c>
      <c r="G38" s="288"/>
      <c r="H38" s="289"/>
      <c r="I38" s="289"/>
      <c r="J38" s="289"/>
      <c r="K38" s="289"/>
      <c r="L38" s="289"/>
      <c r="M38" s="289"/>
      <c r="N38" s="289"/>
      <c r="O38" s="290"/>
    </row>
    <row r="39" spans="1:15">
      <c r="A39" s="97">
        <v>44617</v>
      </c>
      <c r="B39" s="98">
        <v>4</v>
      </c>
      <c r="C39" s="99">
        <v>0</v>
      </c>
      <c r="D39" s="99">
        <v>0</v>
      </c>
      <c r="E39" s="99">
        <v>0</v>
      </c>
      <c r="F39" s="99">
        <v>0</v>
      </c>
      <c r="G39" s="288"/>
      <c r="H39" s="289"/>
      <c r="I39" s="289"/>
      <c r="J39" s="289"/>
      <c r="K39" s="289"/>
      <c r="L39" s="289"/>
      <c r="M39" s="289"/>
      <c r="N39" s="289"/>
      <c r="O39" s="290"/>
    </row>
    <row r="40" spans="1:15">
      <c r="A40" s="97">
        <v>44618</v>
      </c>
      <c r="B40" s="98">
        <v>9</v>
      </c>
      <c r="C40" s="98">
        <v>0</v>
      </c>
      <c r="D40" s="98">
        <v>0</v>
      </c>
      <c r="E40" s="99">
        <v>0</v>
      </c>
      <c r="F40" s="99">
        <v>0</v>
      </c>
      <c r="G40" s="288"/>
      <c r="H40" s="289"/>
      <c r="I40" s="289"/>
      <c r="J40" s="289"/>
      <c r="K40" s="289"/>
      <c r="L40" s="289"/>
      <c r="M40" s="289"/>
      <c r="N40" s="289"/>
      <c r="O40" s="290"/>
    </row>
    <row r="41" spans="1:15">
      <c r="A41" s="97">
        <v>44619</v>
      </c>
      <c r="B41" s="98">
        <v>22</v>
      </c>
      <c r="C41" s="99">
        <v>0</v>
      </c>
      <c r="D41" s="99">
        <v>0</v>
      </c>
      <c r="E41" s="99">
        <v>0</v>
      </c>
      <c r="F41" s="99">
        <v>0</v>
      </c>
      <c r="G41" s="288"/>
      <c r="H41" s="289"/>
      <c r="I41" s="289"/>
      <c r="J41" s="289"/>
      <c r="K41" s="289"/>
      <c r="L41" s="289"/>
      <c r="M41" s="289"/>
      <c r="N41" s="289"/>
      <c r="O41" s="290"/>
    </row>
    <row r="42" spans="1:15">
      <c r="A42" s="97">
        <v>44620</v>
      </c>
      <c r="B42" s="98">
        <v>4</v>
      </c>
      <c r="C42" s="98">
        <v>0</v>
      </c>
      <c r="D42" s="98">
        <v>0</v>
      </c>
      <c r="E42" s="99">
        <v>0</v>
      </c>
      <c r="F42" s="99">
        <v>0</v>
      </c>
      <c r="G42" s="288"/>
      <c r="H42" s="289"/>
      <c r="I42" s="289"/>
      <c r="J42" s="289"/>
      <c r="K42" s="289"/>
      <c r="L42" s="289"/>
      <c r="M42" s="289"/>
      <c r="N42" s="289"/>
      <c r="O42" s="290"/>
    </row>
    <row r="43" spans="1:15">
      <c r="A43" s="97">
        <v>44621</v>
      </c>
      <c r="B43" s="98">
        <v>4</v>
      </c>
      <c r="C43" s="99">
        <v>0</v>
      </c>
      <c r="D43" s="99">
        <v>0</v>
      </c>
      <c r="E43" s="99">
        <v>0</v>
      </c>
      <c r="F43" s="99">
        <v>0</v>
      </c>
      <c r="G43" s="288"/>
      <c r="H43" s="289"/>
      <c r="I43" s="289"/>
      <c r="J43" s="289"/>
      <c r="K43" s="289"/>
      <c r="L43" s="289"/>
      <c r="M43" s="289"/>
      <c r="N43" s="289"/>
      <c r="O43" s="290"/>
    </row>
    <row r="44" spans="1:15">
      <c r="A44" s="97">
        <v>44622</v>
      </c>
      <c r="B44" s="98">
        <v>4</v>
      </c>
      <c r="C44" s="98">
        <v>0</v>
      </c>
      <c r="D44" s="98">
        <v>0</v>
      </c>
      <c r="E44" s="99">
        <v>0</v>
      </c>
      <c r="F44" s="99">
        <v>0</v>
      </c>
      <c r="G44" s="288"/>
      <c r="H44" s="289"/>
      <c r="I44" s="289"/>
      <c r="J44" s="289"/>
      <c r="K44" s="289"/>
      <c r="L44" s="289"/>
      <c r="M44" s="289"/>
      <c r="N44" s="289"/>
      <c r="O44" s="290"/>
    </row>
    <row r="45" spans="1:15">
      <c r="A45" s="97">
        <v>44623</v>
      </c>
      <c r="B45" s="98">
        <v>4</v>
      </c>
      <c r="C45" s="98">
        <v>0</v>
      </c>
      <c r="D45" s="98">
        <v>0</v>
      </c>
      <c r="E45" s="130">
        <v>0</v>
      </c>
      <c r="F45" s="99">
        <v>0</v>
      </c>
      <c r="G45" s="288"/>
      <c r="H45" s="289"/>
      <c r="I45" s="289"/>
      <c r="J45" s="289"/>
      <c r="K45" s="289"/>
      <c r="L45" s="289"/>
      <c r="M45" s="289"/>
      <c r="N45" s="289"/>
      <c r="O45" s="290"/>
    </row>
    <row r="46" spans="1:15">
      <c r="A46" s="97">
        <v>44624</v>
      </c>
      <c r="B46" s="98">
        <v>4</v>
      </c>
      <c r="C46" s="98">
        <v>0</v>
      </c>
      <c r="D46" s="98">
        <v>0</v>
      </c>
      <c r="E46" s="130">
        <v>0</v>
      </c>
      <c r="F46" s="99">
        <v>0</v>
      </c>
      <c r="G46" s="288"/>
      <c r="H46" s="289"/>
      <c r="I46" s="289"/>
      <c r="J46" s="289"/>
      <c r="K46" s="289"/>
      <c r="L46" s="289"/>
      <c r="M46" s="289"/>
      <c r="N46" s="289"/>
      <c r="O46" s="290"/>
    </row>
    <row r="47" spans="1:15">
      <c r="A47" s="97">
        <v>44625</v>
      </c>
      <c r="B47" s="98">
        <v>4</v>
      </c>
      <c r="C47" s="98">
        <v>0</v>
      </c>
      <c r="D47" s="98">
        <v>0</v>
      </c>
      <c r="E47" s="131">
        <v>0</v>
      </c>
      <c r="F47" s="98">
        <v>0</v>
      </c>
      <c r="G47" s="288"/>
      <c r="H47" s="289"/>
      <c r="I47" s="289"/>
      <c r="J47" s="289"/>
      <c r="K47" s="289"/>
      <c r="L47" s="289"/>
      <c r="M47" s="289"/>
      <c r="N47" s="289"/>
      <c r="O47" s="290"/>
    </row>
    <row r="48" spans="1:15">
      <c r="A48" s="97">
        <v>44626</v>
      </c>
      <c r="B48" s="98">
        <v>4</v>
      </c>
      <c r="C48" s="98">
        <v>0</v>
      </c>
      <c r="D48" s="98">
        <v>0</v>
      </c>
      <c r="E48" s="130">
        <v>0</v>
      </c>
      <c r="F48" s="99">
        <v>0</v>
      </c>
      <c r="G48" s="288"/>
      <c r="H48" s="289"/>
      <c r="I48" s="289"/>
      <c r="J48" s="289"/>
      <c r="K48" s="289"/>
      <c r="L48" s="289"/>
      <c r="M48" s="289"/>
      <c r="N48" s="289"/>
      <c r="O48" s="290"/>
    </row>
    <row r="49" spans="1:15">
      <c r="A49" s="97">
        <v>44627</v>
      </c>
      <c r="B49" s="98">
        <v>4</v>
      </c>
      <c r="C49" s="99">
        <v>0</v>
      </c>
      <c r="D49" s="99">
        <v>0</v>
      </c>
      <c r="E49" s="130">
        <v>0</v>
      </c>
      <c r="F49" s="99">
        <v>0</v>
      </c>
      <c r="G49" s="288"/>
      <c r="H49" s="289"/>
      <c r="I49" s="289"/>
      <c r="J49" s="289"/>
      <c r="K49" s="289"/>
      <c r="L49" s="289"/>
      <c r="M49" s="289"/>
      <c r="N49" s="289"/>
      <c r="O49" s="290"/>
    </row>
    <row r="50" spans="1:15">
      <c r="A50" s="97">
        <v>44628</v>
      </c>
      <c r="B50" s="98">
        <v>4</v>
      </c>
      <c r="C50" s="98">
        <v>0</v>
      </c>
      <c r="D50" s="98">
        <v>0</v>
      </c>
      <c r="E50" s="131">
        <v>0</v>
      </c>
      <c r="F50" s="98">
        <v>0</v>
      </c>
      <c r="G50" s="288"/>
      <c r="H50" s="289"/>
      <c r="I50" s="289"/>
      <c r="J50" s="289"/>
      <c r="K50" s="289"/>
      <c r="L50" s="289"/>
      <c r="M50" s="289"/>
      <c r="N50" s="289"/>
      <c r="O50" s="290"/>
    </row>
    <row r="51" spans="1:15">
      <c r="A51" s="97">
        <v>44629</v>
      </c>
      <c r="B51" s="98">
        <v>4</v>
      </c>
      <c r="C51" s="98">
        <v>0</v>
      </c>
      <c r="D51" s="98">
        <v>0</v>
      </c>
      <c r="E51" s="130">
        <v>0</v>
      </c>
      <c r="F51" s="99">
        <v>0</v>
      </c>
      <c r="G51" s="288"/>
      <c r="H51" s="289"/>
      <c r="I51" s="289"/>
      <c r="J51" s="289"/>
      <c r="K51" s="289"/>
      <c r="L51" s="289"/>
      <c r="M51" s="289"/>
      <c r="N51" s="289"/>
      <c r="O51" s="290"/>
    </row>
    <row r="52" spans="1:15">
      <c r="A52" s="97">
        <v>44630</v>
      </c>
      <c r="B52" s="98">
        <v>4</v>
      </c>
      <c r="C52" s="98">
        <v>0</v>
      </c>
      <c r="D52" s="98">
        <v>0</v>
      </c>
      <c r="E52" s="130">
        <v>0</v>
      </c>
      <c r="F52" s="99">
        <v>0</v>
      </c>
      <c r="G52" s="288"/>
      <c r="H52" s="289"/>
      <c r="I52" s="289"/>
      <c r="J52" s="289"/>
      <c r="K52" s="289"/>
      <c r="L52" s="289"/>
      <c r="M52" s="289"/>
      <c r="N52" s="289"/>
      <c r="O52" s="290"/>
    </row>
    <row r="53" spans="1:15">
      <c r="A53" s="97">
        <v>44631</v>
      </c>
      <c r="B53" s="98">
        <v>4</v>
      </c>
      <c r="C53" s="99">
        <v>0</v>
      </c>
      <c r="D53" s="99">
        <v>0</v>
      </c>
      <c r="E53" s="130">
        <v>0</v>
      </c>
      <c r="F53" s="99">
        <v>0</v>
      </c>
      <c r="G53" s="288"/>
      <c r="H53" s="289"/>
      <c r="I53" s="289"/>
      <c r="J53" s="289"/>
      <c r="K53" s="289"/>
      <c r="L53" s="289"/>
      <c r="M53" s="289"/>
      <c r="N53" s="289"/>
      <c r="O53" s="290"/>
    </row>
    <row r="54" spans="1:15">
      <c r="A54" s="97">
        <v>44632</v>
      </c>
      <c r="B54" s="98">
        <v>4</v>
      </c>
      <c r="C54" s="98">
        <v>0</v>
      </c>
      <c r="D54" s="98">
        <v>0</v>
      </c>
      <c r="E54" s="131">
        <v>0</v>
      </c>
      <c r="F54" s="98">
        <v>0</v>
      </c>
      <c r="G54" s="288"/>
      <c r="H54" s="289"/>
      <c r="I54" s="289"/>
      <c r="J54" s="289"/>
      <c r="K54" s="289"/>
      <c r="L54" s="289"/>
      <c r="M54" s="289"/>
      <c r="N54" s="289"/>
      <c r="O54" s="290"/>
    </row>
    <row r="55" spans="1:15">
      <c r="A55" s="97">
        <v>44633</v>
      </c>
      <c r="B55" s="98">
        <v>4</v>
      </c>
      <c r="C55" s="98">
        <v>0</v>
      </c>
      <c r="D55" s="98">
        <v>0</v>
      </c>
      <c r="E55" s="131">
        <v>0</v>
      </c>
      <c r="F55" s="98">
        <v>0</v>
      </c>
      <c r="G55" s="288"/>
      <c r="H55" s="289"/>
      <c r="I55" s="289"/>
      <c r="J55" s="289"/>
      <c r="K55" s="289"/>
      <c r="L55" s="289"/>
      <c r="M55" s="289"/>
      <c r="N55" s="289"/>
      <c r="O55" s="290"/>
    </row>
    <row r="56" spans="1:15">
      <c r="A56" s="97">
        <v>44634</v>
      </c>
      <c r="B56" s="98">
        <v>4</v>
      </c>
      <c r="C56" s="98">
        <v>0</v>
      </c>
      <c r="D56" s="98">
        <v>0</v>
      </c>
      <c r="E56" s="130">
        <v>0</v>
      </c>
      <c r="F56" s="98">
        <v>0</v>
      </c>
      <c r="G56" s="288"/>
      <c r="H56" s="289"/>
      <c r="I56" s="289"/>
      <c r="J56" s="289"/>
      <c r="K56" s="289"/>
      <c r="L56" s="289"/>
      <c r="M56" s="289"/>
      <c r="N56" s="289"/>
      <c r="O56" s="290"/>
    </row>
    <row r="57" spans="1:15">
      <c r="A57" s="97">
        <v>44635</v>
      </c>
      <c r="B57" s="98">
        <v>4</v>
      </c>
      <c r="C57" s="98">
        <v>0</v>
      </c>
      <c r="D57" s="98">
        <v>0</v>
      </c>
      <c r="E57" s="131">
        <v>0</v>
      </c>
      <c r="F57" s="99">
        <v>0</v>
      </c>
      <c r="G57" s="288"/>
      <c r="H57" s="289"/>
      <c r="I57" s="289"/>
      <c r="J57" s="289"/>
      <c r="K57" s="289"/>
      <c r="L57" s="289"/>
      <c r="M57" s="289"/>
      <c r="N57" s="289"/>
      <c r="O57" s="290"/>
    </row>
    <row r="58" spans="1:15">
      <c r="A58" s="97">
        <v>44636</v>
      </c>
      <c r="B58" s="98">
        <v>4</v>
      </c>
      <c r="C58" s="99">
        <v>0</v>
      </c>
      <c r="D58" s="99">
        <v>0</v>
      </c>
      <c r="E58" s="99">
        <v>0</v>
      </c>
      <c r="F58" s="99">
        <v>0</v>
      </c>
      <c r="G58" s="288"/>
      <c r="H58" s="289"/>
      <c r="I58" s="289"/>
      <c r="J58" s="289"/>
      <c r="K58" s="289"/>
      <c r="L58" s="289"/>
      <c r="M58" s="289"/>
      <c r="N58" s="289"/>
      <c r="O58" s="290"/>
    </row>
    <row r="59" spans="1:15">
      <c r="A59" s="97">
        <v>44637</v>
      </c>
      <c r="B59" s="98">
        <v>5</v>
      </c>
      <c r="C59" s="99">
        <v>0</v>
      </c>
      <c r="D59" s="99">
        <v>0</v>
      </c>
      <c r="E59" s="99">
        <v>0</v>
      </c>
      <c r="F59" s="99">
        <v>0</v>
      </c>
      <c r="G59" s="288" t="s">
        <v>82</v>
      </c>
      <c r="H59" s="289"/>
      <c r="I59" s="289"/>
      <c r="J59" s="289"/>
      <c r="K59" s="289"/>
      <c r="L59" s="289"/>
      <c r="M59" s="289"/>
      <c r="N59" s="289"/>
      <c r="O59" s="290"/>
    </row>
    <row r="60" spans="1:15">
      <c r="A60" s="170">
        <v>44638</v>
      </c>
      <c r="B60" s="171">
        <v>4</v>
      </c>
      <c r="C60" s="171">
        <v>0</v>
      </c>
      <c r="D60" s="171">
        <v>0</v>
      </c>
      <c r="E60" s="171">
        <v>0</v>
      </c>
      <c r="F60" s="171">
        <v>0</v>
      </c>
      <c r="G60" s="288"/>
      <c r="H60" s="289"/>
      <c r="I60" s="289"/>
      <c r="J60" s="289"/>
      <c r="K60" s="289"/>
      <c r="L60" s="289"/>
      <c r="M60" s="289"/>
      <c r="N60" s="289"/>
      <c r="O60" s="290"/>
    </row>
    <row r="61" spans="1:15">
      <c r="A61" s="170">
        <v>44639</v>
      </c>
      <c r="B61" s="171">
        <v>4</v>
      </c>
      <c r="C61" s="171">
        <v>0</v>
      </c>
      <c r="D61" s="171">
        <v>0</v>
      </c>
      <c r="E61" s="171">
        <v>0</v>
      </c>
      <c r="F61" s="171">
        <v>0</v>
      </c>
      <c r="G61" s="288"/>
      <c r="H61" s="289"/>
      <c r="I61" s="289"/>
      <c r="J61" s="289"/>
      <c r="K61" s="289"/>
      <c r="L61" s="289"/>
      <c r="M61" s="289"/>
      <c r="N61" s="289"/>
      <c r="O61" s="290"/>
    </row>
    <row r="62" spans="1:15">
      <c r="A62" s="170">
        <v>44640</v>
      </c>
      <c r="B62" s="171">
        <v>4</v>
      </c>
      <c r="C62" s="171">
        <v>0</v>
      </c>
      <c r="D62" s="171">
        <v>0</v>
      </c>
      <c r="E62" s="171">
        <v>0</v>
      </c>
      <c r="F62" s="171">
        <v>0</v>
      </c>
      <c r="G62" s="288"/>
      <c r="H62" s="289"/>
      <c r="I62" s="289"/>
      <c r="J62" s="289"/>
      <c r="K62" s="289"/>
      <c r="L62" s="289"/>
      <c r="M62" s="289"/>
      <c r="N62" s="289"/>
      <c r="O62" s="290"/>
    </row>
    <row r="63" spans="1:15">
      <c r="A63" s="170">
        <v>44641</v>
      </c>
      <c r="B63" s="171">
        <v>4</v>
      </c>
      <c r="C63" s="171">
        <v>0</v>
      </c>
      <c r="D63" s="171">
        <v>0</v>
      </c>
      <c r="E63" s="171">
        <v>0</v>
      </c>
      <c r="F63" s="171">
        <v>0</v>
      </c>
      <c r="G63" s="288"/>
      <c r="H63" s="289"/>
      <c r="I63" s="289"/>
      <c r="J63" s="289"/>
      <c r="K63" s="289"/>
      <c r="L63" s="289"/>
      <c r="M63" s="289"/>
      <c r="N63" s="289"/>
      <c r="O63" s="290"/>
    </row>
    <row r="64" spans="1:15">
      <c r="A64" s="170">
        <v>44642</v>
      </c>
      <c r="B64" s="171">
        <v>4</v>
      </c>
      <c r="C64" s="171">
        <v>0</v>
      </c>
      <c r="D64" s="171">
        <v>0</v>
      </c>
      <c r="E64" s="171">
        <v>1</v>
      </c>
      <c r="F64" s="171">
        <v>0</v>
      </c>
      <c r="G64" s="288" t="s">
        <v>83</v>
      </c>
      <c r="H64" s="289"/>
      <c r="I64" s="289"/>
      <c r="J64" s="289"/>
      <c r="K64" s="289"/>
      <c r="L64" s="289"/>
      <c r="M64" s="289"/>
      <c r="N64" s="289"/>
      <c r="O64" s="290"/>
    </row>
    <row r="65" spans="1:15">
      <c r="A65" s="170">
        <v>44643</v>
      </c>
      <c r="B65" s="171">
        <v>4</v>
      </c>
      <c r="C65" s="171">
        <v>0</v>
      </c>
      <c r="D65" s="171">
        <v>0</v>
      </c>
      <c r="E65" s="171">
        <v>0</v>
      </c>
      <c r="F65" s="171">
        <v>0</v>
      </c>
      <c r="G65" s="288"/>
      <c r="H65" s="289"/>
      <c r="I65" s="289"/>
      <c r="J65" s="289"/>
      <c r="K65" s="289"/>
      <c r="L65" s="289"/>
      <c r="M65" s="289"/>
      <c r="N65" s="289"/>
      <c r="O65" s="290"/>
    </row>
    <row r="66" spans="1:15">
      <c r="A66" s="170">
        <v>44644</v>
      </c>
      <c r="B66" s="171">
        <v>4</v>
      </c>
      <c r="C66" s="171">
        <v>0</v>
      </c>
      <c r="D66" s="171">
        <v>0</v>
      </c>
      <c r="E66" s="171">
        <v>0</v>
      </c>
      <c r="F66" s="171">
        <v>0</v>
      </c>
      <c r="G66" s="288"/>
      <c r="H66" s="289"/>
      <c r="I66" s="289"/>
      <c r="J66" s="289"/>
      <c r="K66" s="289"/>
      <c r="L66" s="289"/>
      <c r="M66" s="289"/>
      <c r="N66" s="289"/>
      <c r="O66" s="290"/>
    </row>
    <row r="67" spans="1:15">
      <c r="A67" s="170">
        <v>44645</v>
      </c>
      <c r="B67" s="171">
        <v>4</v>
      </c>
      <c r="C67" s="171">
        <v>0</v>
      </c>
      <c r="D67" s="171">
        <v>0</v>
      </c>
      <c r="E67" s="171">
        <v>0</v>
      </c>
      <c r="F67" s="171">
        <v>0</v>
      </c>
      <c r="G67" s="288"/>
      <c r="H67" s="289"/>
      <c r="I67" s="289"/>
      <c r="J67" s="289"/>
      <c r="K67" s="289"/>
      <c r="L67" s="289"/>
      <c r="M67" s="289"/>
      <c r="N67" s="289"/>
      <c r="O67" s="290"/>
    </row>
    <row r="68" spans="1:15">
      <c r="A68" s="170">
        <v>44646</v>
      </c>
      <c r="B68" s="171">
        <v>6</v>
      </c>
      <c r="C68" s="171">
        <v>0</v>
      </c>
      <c r="D68" s="171">
        <v>0</v>
      </c>
      <c r="E68" s="171">
        <v>0</v>
      </c>
      <c r="F68" s="171">
        <v>0</v>
      </c>
      <c r="G68" s="288" t="s">
        <v>84</v>
      </c>
      <c r="H68" s="289"/>
      <c r="I68" s="289"/>
      <c r="J68" s="289"/>
      <c r="K68" s="289"/>
      <c r="L68" s="289"/>
      <c r="M68" s="289"/>
      <c r="N68" s="289"/>
      <c r="O68" s="290"/>
    </row>
    <row r="69" spans="1:15">
      <c r="A69" s="170">
        <v>44647</v>
      </c>
      <c r="B69" s="171">
        <v>4</v>
      </c>
      <c r="C69" s="171">
        <v>0</v>
      </c>
      <c r="D69" s="171">
        <v>0</v>
      </c>
      <c r="E69" s="171">
        <v>1</v>
      </c>
      <c r="F69" s="171">
        <v>0</v>
      </c>
      <c r="G69" s="288" t="s">
        <v>85</v>
      </c>
      <c r="H69" s="289"/>
      <c r="I69" s="289"/>
      <c r="J69" s="289"/>
      <c r="K69" s="289"/>
      <c r="L69" s="289"/>
      <c r="M69" s="289"/>
      <c r="N69" s="289"/>
      <c r="O69" s="290"/>
    </row>
    <row r="70" spans="1:15">
      <c r="A70" s="170">
        <v>44648</v>
      </c>
      <c r="B70" s="171">
        <v>0</v>
      </c>
      <c r="C70" s="171">
        <v>0</v>
      </c>
      <c r="D70" s="171">
        <v>0</v>
      </c>
      <c r="E70" s="171">
        <v>0</v>
      </c>
      <c r="F70" s="171">
        <v>0</v>
      </c>
      <c r="G70" s="288" t="s">
        <v>86</v>
      </c>
      <c r="H70" s="289"/>
      <c r="I70" s="289"/>
      <c r="J70" s="289"/>
      <c r="K70" s="289"/>
      <c r="L70" s="289"/>
      <c r="M70" s="289"/>
      <c r="N70" s="289"/>
      <c r="O70" s="290"/>
    </row>
    <row r="71" spans="1:15">
      <c r="A71" s="170">
        <v>44649</v>
      </c>
      <c r="B71" s="171">
        <v>0</v>
      </c>
      <c r="C71" s="171">
        <v>0</v>
      </c>
      <c r="D71" s="171">
        <v>0</v>
      </c>
      <c r="E71" s="171">
        <v>0</v>
      </c>
      <c r="F71" s="171">
        <v>0</v>
      </c>
      <c r="G71" s="288"/>
      <c r="H71" s="289"/>
      <c r="I71" s="289"/>
      <c r="J71" s="289"/>
      <c r="K71" s="289"/>
      <c r="L71" s="289"/>
      <c r="M71" s="289"/>
      <c r="N71" s="289"/>
      <c r="O71" s="290"/>
    </row>
    <row r="72" spans="1:15">
      <c r="A72" s="170">
        <v>44650</v>
      </c>
      <c r="B72" s="171">
        <v>0</v>
      </c>
      <c r="C72" s="171">
        <v>0</v>
      </c>
      <c r="D72" s="171">
        <v>0</v>
      </c>
      <c r="E72" s="171">
        <v>0</v>
      </c>
      <c r="F72" s="171">
        <v>0</v>
      </c>
      <c r="G72" s="288"/>
      <c r="H72" s="289"/>
      <c r="I72" s="289"/>
      <c r="J72" s="289"/>
      <c r="K72" s="289"/>
      <c r="L72" s="289"/>
      <c r="M72" s="289"/>
      <c r="N72" s="289"/>
      <c r="O72" s="290"/>
    </row>
    <row r="73" spans="1:15">
      <c r="A73" s="170">
        <v>44651</v>
      </c>
      <c r="B73" s="171">
        <v>0</v>
      </c>
      <c r="C73" s="171">
        <v>0</v>
      </c>
      <c r="D73" s="171">
        <v>0</v>
      </c>
      <c r="E73" s="171">
        <v>0</v>
      </c>
      <c r="F73" s="171">
        <v>0</v>
      </c>
      <c r="G73" s="288"/>
      <c r="H73" s="289"/>
      <c r="I73" s="289"/>
      <c r="J73" s="289"/>
      <c r="K73" s="289"/>
      <c r="L73" s="289"/>
      <c r="M73" s="289"/>
      <c r="N73" s="289"/>
      <c r="O73" s="290"/>
    </row>
    <row r="74" spans="1:15">
      <c r="A74" s="170">
        <v>44652</v>
      </c>
      <c r="B74" s="171">
        <v>0</v>
      </c>
      <c r="C74" s="171">
        <v>0</v>
      </c>
      <c r="D74" s="171">
        <v>0</v>
      </c>
      <c r="E74" s="171">
        <v>0</v>
      </c>
      <c r="F74" s="171">
        <v>0</v>
      </c>
      <c r="G74" s="288"/>
      <c r="H74" s="289"/>
      <c r="I74" s="289"/>
      <c r="J74" s="289"/>
      <c r="K74" s="289"/>
      <c r="L74" s="289"/>
      <c r="M74" s="289"/>
      <c r="N74" s="289"/>
      <c r="O74" s="290"/>
    </row>
    <row r="75" spans="1:15">
      <c r="A75" s="170">
        <v>44653</v>
      </c>
      <c r="B75" s="171">
        <v>0</v>
      </c>
      <c r="C75" s="171">
        <v>0</v>
      </c>
      <c r="D75" s="171">
        <v>0</v>
      </c>
      <c r="E75" s="171">
        <v>0</v>
      </c>
      <c r="F75" s="171">
        <v>0</v>
      </c>
      <c r="G75" s="288"/>
      <c r="H75" s="289"/>
      <c r="I75" s="289"/>
      <c r="J75" s="289"/>
      <c r="K75" s="289"/>
      <c r="L75" s="289"/>
      <c r="M75" s="289"/>
      <c r="N75" s="289"/>
      <c r="O75" s="290"/>
    </row>
    <row r="76" spans="1:15">
      <c r="A76" s="170">
        <v>44654</v>
      </c>
      <c r="B76" s="171">
        <v>0</v>
      </c>
      <c r="C76" s="171">
        <v>0</v>
      </c>
      <c r="D76" s="171">
        <v>0</v>
      </c>
      <c r="E76" s="171">
        <v>0</v>
      </c>
      <c r="F76" s="171">
        <v>0</v>
      </c>
      <c r="G76" s="288"/>
      <c r="H76" s="289"/>
      <c r="I76" s="289"/>
      <c r="J76" s="289"/>
      <c r="K76" s="289"/>
      <c r="L76" s="289"/>
      <c r="M76" s="289"/>
      <c r="N76" s="289"/>
      <c r="O76" s="290"/>
    </row>
    <row r="77" spans="1:15">
      <c r="A77" s="170">
        <v>44655</v>
      </c>
      <c r="B77" s="171">
        <v>0</v>
      </c>
      <c r="C77" s="171">
        <v>0</v>
      </c>
      <c r="D77" s="171">
        <v>0</v>
      </c>
      <c r="E77" s="171">
        <v>0</v>
      </c>
      <c r="F77" s="171">
        <v>0</v>
      </c>
      <c r="G77" s="288"/>
      <c r="H77" s="289"/>
      <c r="I77" s="289"/>
      <c r="J77" s="289"/>
      <c r="K77" s="289"/>
      <c r="L77" s="289"/>
      <c r="M77" s="289"/>
      <c r="N77" s="289"/>
      <c r="O77" s="290"/>
    </row>
    <row r="78" spans="1:15">
      <c r="A78" s="170">
        <v>44656</v>
      </c>
      <c r="B78" s="171">
        <v>0</v>
      </c>
      <c r="C78" s="171">
        <v>0</v>
      </c>
      <c r="D78" s="171">
        <v>0</v>
      </c>
      <c r="E78" s="171">
        <v>0</v>
      </c>
      <c r="F78" s="171">
        <v>0</v>
      </c>
      <c r="G78" s="288"/>
      <c r="H78" s="289"/>
      <c r="I78" s="289"/>
      <c r="J78" s="289"/>
      <c r="K78" s="289"/>
      <c r="L78" s="289"/>
      <c r="M78" s="289"/>
      <c r="N78" s="289"/>
      <c r="O78" s="290"/>
    </row>
    <row r="79" spans="1:15">
      <c r="A79" s="170">
        <v>44657</v>
      </c>
      <c r="B79" s="171">
        <v>0</v>
      </c>
      <c r="C79" s="171">
        <v>2</v>
      </c>
      <c r="D79" s="171">
        <v>0</v>
      </c>
      <c r="E79" s="171">
        <v>0</v>
      </c>
      <c r="F79" s="171">
        <v>0</v>
      </c>
      <c r="G79" s="288" t="s">
        <v>87</v>
      </c>
      <c r="H79" s="289"/>
      <c r="I79" s="289"/>
      <c r="J79" s="289"/>
      <c r="K79" s="289"/>
      <c r="L79" s="289"/>
      <c r="M79" s="289"/>
      <c r="N79" s="289"/>
      <c r="O79" s="290"/>
    </row>
    <row r="80" spans="1:15">
      <c r="A80" s="170">
        <v>44658</v>
      </c>
      <c r="B80" s="171">
        <v>0</v>
      </c>
      <c r="C80" s="171">
        <v>2</v>
      </c>
      <c r="D80" s="171">
        <v>0</v>
      </c>
      <c r="E80" s="171">
        <v>0</v>
      </c>
      <c r="F80" s="171">
        <v>0</v>
      </c>
      <c r="G80" s="288" t="s">
        <v>88</v>
      </c>
      <c r="H80" s="289"/>
      <c r="I80" s="289"/>
      <c r="J80" s="289"/>
      <c r="K80" s="289"/>
      <c r="L80" s="289"/>
      <c r="M80" s="289"/>
      <c r="N80" s="289"/>
      <c r="O80" s="290"/>
    </row>
    <row r="81" spans="1:15">
      <c r="A81" s="170">
        <v>44659</v>
      </c>
      <c r="B81" s="171">
        <v>0</v>
      </c>
      <c r="C81" s="171">
        <v>4</v>
      </c>
      <c r="D81" s="171">
        <v>4</v>
      </c>
      <c r="E81" s="171">
        <v>2</v>
      </c>
      <c r="F81" s="171">
        <v>0</v>
      </c>
      <c r="G81" s="288" t="s">
        <v>89</v>
      </c>
      <c r="H81" s="289"/>
      <c r="I81" s="289"/>
      <c r="J81" s="289"/>
      <c r="K81" s="289"/>
      <c r="L81" s="289"/>
      <c r="M81" s="289"/>
      <c r="N81" s="289"/>
      <c r="O81" s="290"/>
    </row>
    <row r="82" spans="1:15">
      <c r="A82" s="170">
        <v>44660</v>
      </c>
      <c r="B82" s="171">
        <v>0</v>
      </c>
      <c r="C82" s="171">
        <v>0</v>
      </c>
      <c r="D82" s="171">
        <v>0</v>
      </c>
      <c r="E82" s="171">
        <v>0</v>
      </c>
      <c r="F82" s="171">
        <v>0</v>
      </c>
      <c r="G82" s="288"/>
      <c r="H82" s="289"/>
      <c r="I82" s="289"/>
      <c r="J82" s="289"/>
      <c r="K82" s="289"/>
      <c r="L82" s="289"/>
      <c r="M82" s="289"/>
      <c r="N82" s="289"/>
      <c r="O82" s="290"/>
    </row>
    <row r="83" spans="1:15">
      <c r="A83" s="170">
        <v>44661</v>
      </c>
      <c r="B83" s="171">
        <v>0</v>
      </c>
      <c r="C83" s="171">
        <v>0</v>
      </c>
      <c r="D83" s="171">
        <v>0</v>
      </c>
      <c r="E83" s="171">
        <v>0</v>
      </c>
      <c r="F83" s="171">
        <v>0</v>
      </c>
      <c r="G83" s="288"/>
      <c r="H83" s="289"/>
      <c r="I83" s="289"/>
      <c r="J83" s="289"/>
      <c r="K83" s="289"/>
      <c r="L83" s="289"/>
      <c r="M83" s="289"/>
      <c r="N83" s="289"/>
      <c r="O83" s="290"/>
    </row>
    <row r="84" spans="1:15">
      <c r="A84" s="170">
        <v>44662</v>
      </c>
      <c r="B84" s="171">
        <v>0</v>
      </c>
      <c r="C84" s="171">
        <v>0</v>
      </c>
      <c r="D84" s="171">
        <v>0</v>
      </c>
      <c r="E84" s="171">
        <v>0</v>
      </c>
      <c r="F84" s="171">
        <v>0</v>
      </c>
      <c r="G84" s="288"/>
      <c r="H84" s="289"/>
      <c r="I84" s="289"/>
      <c r="J84" s="289"/>
      <c r="K84" s="289"/>
      <c r="L84" s="289"/>
      <c r="M84" s="289"/>
      <c r="N84" s="289"/>
      <c r="O84" s="290"/>
    </row>
    <row r="85" spans="1:15">
      <c r="A85" s="170">
        <v>44663</v>
      </c>
      <c r="B85" s="171">
        <v>0</v>
      </c>
      <c r="C85" s="171">
        <v>0</v>
      </c>
      <c r="D85" s="171">
        <v>0</v>
      </c>
      <c r="E85" s="171">
        <v>0</v>
      </c>
      <c r="F85" s="171">
        <v>0</v>
      </c>
      <c r="G85" s="288"/>
      <c r="H85" s="289"/>
      <c r="I85" s="289"/>
      <c r="J85" s="289"/>
      <c r="K85" s="289"/>
      <c r="L85" s="289"/>
      <c r="M85" s="289"/>
      <c r="N85" s="289"/>
      <c r="O85" s="290"/>
    </row>
    <row r="86" spans="1:15">
      <c r="A86" s="170">
        <v>44664</v>
      </c>
      <c r="B86" s="171">
        <v>0</v>
      </c>
      <c r="C86" s="171">
        <v>0</v>
      </c>
      <c r="D86" s="171">
        <v>0</v>
      </c>
      <c r="E86" s="171">
        <v>0</v>
      </c>
      <c r="F86" s="171">
        <v>0</v>
      </c>
      <c r="G86" s="288"/>
      <c r="H86" s="289"/>
      <c r="I86" s="289"/>
      <c r="J86" s="289"/>
      <c r="K86" s="289"/>
      <c r="L86" s="289"/>
      <c r="M86" s="289"/>
      <c r="N86" s="289"/>
      <c r="O86" s="290"/>
    </row>
    <row r="87" spans="1:15">
      <c r="A87" s="170">
        <v>44665</v>
      </c>
      <c r="B87" s="171">
        <v>0</v>
      </c>
      <c r="C87" s="171">
        <v>8</v>
      </c>
      <c r="D87" s="171">
        <v>8</v>
      </c>
      <c r="E87" s="171">
        <v>0</v>
      </c>
      <c r="F87" s="171">
        <v>0</v>
      </c>
      <c r="G87" s="288"/>
      <c r="H87" s="289"/>
      <c r="I87" s="289"/>
      <c r="J87" s="289"/>
      <c r="K87" s="289"/>
      <c r="L87" s="289"/>
      <c r="M87" s="289"/>
      <c r="N87" s="289"/>
      <c r="O87" s="290"/>
    </row>
    <row r="88" spans="1:15">
      <c r="A88" s="170">
        <v>44666</v>
      </c>
      <c r="B88" s="171">
        <v>0</v>
      </c>
      <c r="C88" s="171"/>
      <c r="D88" s="171"/>
      <c r="E88" s="171"/>
      <c r="F88" s="171"/>
      <c r="G88" s="288"/>
      <c r="H88" s="289"/>
      <c r="I88" s="289"/>
      <c r="J88" s="289"/>
      <c r="K88" s="289"/>
      <c r="L88" s="289"/>
      <c r="M88" s="289"/>
      <c r="N88" s="289"/>
      <c r="O88" s="290"/>
    </row>
    <row r="89" spans="1:15">
      <c r="A89" s="170">
        <v>44667</v>
      </c>
      <c r="B89" s="171">
        <v>0</v>
      </c>
      <c r="C89" s="171"/>
      <c r="D89" s="171"/>
      <c r="E89" s="171"/>
      <c r="F89" s="171"/>
      <c r="G89" s="288"/>
      <c r="H89" s="289"/>
      <c r="I89" s="289"/>
      <c r="J89" s="289"/>
      <c r="K89" s="289"/>
      <c r="L89" s="289"/>
      <c r="M89" s="289"/>
      <c r="N89" s="289"/>
      <c r="O89" s="290"/>
    </row>
    <row r="90" spans="1:15">
      <c r="A90" s="170">
        <v>44668</v>
      </c>
      <c r="B90" s="171">
        <v>45</v>
      </c>
      <c r="C90" s="171">
        <v>2</v>
      </c>
      <c r="D90" s="171">
        <v>0</v>
      </c>
      <c r="E90" s="171">
        <v>0</v>
      </c>
      <c r="F90" s="171">
        <v>0</v>
      </c>
      <c r="G90" s="288" t="s">
        <v>90</v>
      </c>
      <c r="H90" s="289"/>
      <c r="I90" s="289"/>
      <c r="J90" s="289"/>
      <c r="K90" s="289"/>
      <c r="L90" s="289"/>
      <c r="M90" s="289"/>
      <c r="N90" s="289"/>
      <c r="O90" s="290"/>
    </row>
    <row r="91" spans="1:15">
      <c r="A91" s="170">
        <v>44669</v>
      </c>
      <c r="B91" s="171">
        <v>25</v>
      </c>
      <c r="C91" s="171">
        <v>2</v>
      </c>
      <c r="D91" s="171">
        <v>0</v>
      </c>
      <c r="E91" s="171">
        <v>0</v>
      </c>
      <c r="F91" s="171">
        <v>0</v>
      </c>
      <c r="G91" s="288"/>
      <c r="H91" s="289"/>
      <c r="I91" s="289"/>
      <c r="J91" s="289"/>
      <c r="K91" s="289"/>
      <c r="L91" s="289"/>
      <c r="M91" s="289"/>
      <c r="N91" s="289"/>
      <c r="O91" s="290"/>
    </row>
    <row r="92" spans="1:15">
      <c r="A92" s="170">
        <v>44670</v>
      </c>
      <c r="B92" s="171"/>
      <c r="C92" s="171">
        <v>2</v>
      </c>
      <c r="D92" s="171">
        <v>0</v>
      </c>
      <c r="E92" s="171">
        <v>0</v>
      </c>
      <c r="F92" s="171">
        <v>0</v>
      </c>
      <c r="G92" s="288"/>
      <c r="H92" s="289"/>
      <c r="I92" s="289"/>
      <c r="J92" s="289"/>
      <c r="K92" s="289"/>
      <c r="L92" s="289"/>
      <c r="M92" s="289"/>
      <c r="N92" s="289"/>
      <c r="O92" s="290"/>
    </row>
    <row r="93" spans="1:15">
      <c r="A93" s="170">
        <v>44671</v>
      </c>
      <c r="B93" s="171"/>
      <c r="C93" s="171">
        <v>2</v>
      </c>
      <c r="D93" s="171">
        <v>2</v>
      </c>
      <c r="E93" s="171">
        <v>0</v>
      </c>
      <c r="F93" s="171">
        <v>0</v>
      </c>
      <c r="G93" s="288"/>
      <c r="H93" s="289"/>
      <c r="I93" s="289"/>
      <c r="J93" s="289"/>
      <c r="K93" s="289"/>
      <c r="L93" s="289"/>
      <c r="M93" s="289"/>
      <c r="N93" s="289"/>
      <c r="O93" s="290"/>
    </row>
    <row r="94" spans="1:15">
      <c r="A94" s="170">
        <v>44672</v>
      </c>
      <c r="B94" s="171">
        <v>3</v>
      </c>
      <c r="C94" s="171">
        <v>2</v>
      </c>
      <c r="D94" s="171">
        <v>2</v>
      </c>
      <c r="E94" s="171">
        <v>0</v>
      </c>
      <c r="F94" s="171">
        <v>0</v>
      </c>
      <c r="G94" s="288"/>
      <c r="H94" s="289"/>
      <c r="I94" s="289"/>
      <c r="J94" s="289"/>
      <c r="K94" s="289"/>
      <c r="L94" s="289"/>
      <c r="M94" s="289"/>
      <c r="N94" s="289"/>
      <c r="O94" s="290"/>
    </row>
    <row r="95" spans="1:15">
      <c r="A95" s="170">
        <v>44673</v>
      </c>
      <c r="B95" s="171">
        <v>2</v>
      </c>
      <c r="C95" s="171">
        <v>2</v>
      </c>
      <c r="D95" s="171">
        <v>0</v>
      </c>
      <c r="E95" s="171">
        <v>0</v>
      </c>
      <c r="F95" s="171">
        <v>0</v>
      </c>
      <c r="G95" s="288"/>
      <c r="H95" s="289"/>
      <c r="I95" s="289"/>
      <c r="J95" s="289"/>
      <c r="K95" s="289"/>
      <c r="L95" s="289"/>
      <c r="M95" s="289"/>
      <c r="N95" s="289"/>
      <c r="O95" s="290"/>
    </row>
    <row r="96" spans="1:15">
      <c r="A96" s="170">
        <v>44674</v>
      </c>
      <c r="B96" s="171"/>
      <c r="C96" s="171"/>
      <c r="D96" s="171"/>
      <c r="E96" s="171"/>
      <c r="F96" s="171"/>
      <c r="G96" s="288"/>
      <c r="H96" s="289"/>
      <c r="I96" s="289"/>
      <c r="J96" s="289"/>
      <c r="K96" s="289"/>
      <c r="L96" s="289"/>
      <c r="M96" s="289"/>
      <c r="N96" s="289"/>
      <c r="O96" s="290"/>
    </row>
    <row r="97" spans="1:15">
      <c r="A97" s="170">
        <v>44675</v>
      </c>
      <c r="B97" s="171">
        <v>2</v>
      </c>
      <c r="C97" s="171">
        <v>2</v>
      </c>
      <c r="D97" s="171">
        <v>2</v>
      </c>
      <c r="E97" s="171">
        <v>0</v>
      </c>
      <c r="F97" s="171">
        <v>0</v>
      </c>
      <c r="G97" s="288"/>
      <c r="H97" s="289"/>
      <c r="I97" s="289"/>
      <c r="J97" s="289"/>
      <c r="K97" s="289"/>
      <c r="L97" s="289"/>
      <c r="M97" s="289"/>
      <c r="N97" s="289"/>
      <c r="O97" s="290"/>
    </row>
    <row r="98" spans="1:15">
      <c r="A98" s="170">
        <v>44676</v>
      </c>
      <c r="B98" s="171"/>
      <c r="C98" s="171"/>
      <c r="D98" s="171"/>
      <c r="E98" s="171"/>
      <c r="F98" s="171"/>
      <c r="G98" s="288"/>
      <c r="H98" s="289"/>
      <c r="I98" s="289"/>
      <c r="J98" s="289"/>
      <c r="K98" s="289"/>
      <c r="L98" s="289"/>
      <c r="M98" s="289"/>
      <c r="N98" s="289"/>
      <c r="O98" s="290"/>
    </row>
    <row r="99" spans="1:15">
      <c r="A99" s="170">
        <v>44677</v>
      </c>
      <c r="B99" s="171">
        <v>3</v>
      </c>
      <c r="C99" s="171">
        <v>0</v>
      </c>
      <c r="D99" s="171">
        <v>0</v>
      </c>
      <c r="E99" s="171">
        <v>0</v>
      </c>
      <c r="F99" s="171">
        <v>0</v>
      </c>
      <c r="G99" s="288"/>
      <c r="H99" s="289"/>
      <c r="I99" s="289"/>
      <c r="J99" s="289"/>
      <c r="K99" s="289"/>
      <c r="L99" s="289"/>
      <c r="M99" s="289"/>
      <c r="N99" s="289"/>
      <c r="O99" s="290"/>
    </row>
    <row r="100" spans="1:15">
      <c r="A100" s="170">
        <v>44678</v>
      </c>
      <c r="B100" s="171"/>
      <c r="C100" s="171"/>
      <c r="D100" s="171"/>
      <c r="E100" s="171"/>
      <c r="F100" s="171"/>
      <c r="G100" s="288"/>
      <c r="H100" s="289"/>
      <c r="I100" s="289"/>
      <c r="J100" s="289"/>
      <c r="K100" s="289"/>
      <c r="L100" s="289"/>
      <c r="M100" s="289"/>
      <c r="N100" s="289"/>
      <c r="O100" s="290"/>
    </row>
  </sheetData>
  <mergeCells count="85">
    <mergeCell ref="G41:O41"/>
    <mergeCell ref="G42:O42"/>
    <mergeCell ref="G82:O82"/>
    <mergeCell ref="G65:O65"/>
    <mergeCell ref="G66:O66"/>
    <mergeCell ref="G67:O67"/>
    <mergeCell ref="G68:O68"/>
    <mergeCell ref="G69:O69"/>
    <mergeCell ref="G70:O70"/>
    <mergeCell ref="G77:O77"/>
    <mergeCell ref="G78:O78"/>
    <mergeCell ref="G79:O79"/>
    <mergeCell ref="G80:O80"/>
    <mergeCell ref="G81:O81"/>
    <mergeCell ref="G43:O43"/>
    <mergeCell ref="G44:O44"/>
    <mergeCell ref="G45:O45"/>
    <mergeCell ref="G46:O46"/>
    <mergeCell ref="G52:O52"/>
    <mergeCell ref="G47:O47"/>
    <mergeCell ref="G48:O48"/>
    <mergeCell ref="G27:O27"/>
    <mergeCell ref="G28:O28"/>
    <mergeCell ref="G29:O29"/>
    <mergeCell ref="G30:O30"/>
    <mergeCell ref="G31:O31"/>
    <mergeCell ref="G59:O59"/>
    <mergeCell ref="G60:O60"/>
    <mergeCell ref="G49:O49"/>
    <mergeCell ref="G50:O50"/>
    <mergeCell ref="G51:O51"/>
    <mergeCell ref="G53:O53"/>
    <mergeCell ref="G54:O54"/>
    <mergeCell ref="G55:O55"/>
    <mergeCell ref="G56:O56"/>
    <mergeCell ref="G57:O57"/>
    <mergeCell ref="G58:O58"/>
    <mergeCell ref="G75:O75"/>
    <mergeCell ref="G76:O76"/>
    <mergeCell ref="G71:O71"/>
    <mergeCell ref="G72:O72"/>
    <mergeCell ref="G61:O61"/>
    <mergeCell ref="G62:O62"/>
    <mergeCell ref="G63:O63"/>
    <mergeCell ref="G64:O64"/>
    <mergeCell ref="B3:B5"/>
    <mergeCell ref="I21:K21"/>
    <mergeCell ref="A3:A5"/>
    <mergeCell ref="C3:F3"/>
    <mergeCell ref="G3:J3"/>
    <mergeCell ref="E4:F4"/>
    <mergeCell ref="I4:J4"/>
    <mergeCell ref="C19:F19"/>
    <mergeCell ref="G19:J19"/>
    <mergeCell ref="L3:O3"/>
    <mergeCell ref="L4:M4"/>
    <mergeCell ref="G83:O83"/>
    <mergeCell ref="G84:O84"/>
    <mergeCell ref="G85:O85"/>
    <mergeCell ref="G37:O37"/>
    <mergeCell ref="G38:O38"/>
    <mergeCell ref="G39:O39"/>
    <mergeCell ref="G40:O40"/>
    <mergeCell ref="G33:O33"/>
    <mergeCell ref="G34:O34"/>
    <mergeCell ref="G35:O35"/>
    <mergeCell ref="G36:O36"/>
    <mergeCell ref="G32:O32"/>
    <mergeCell ref="G73:O73"/>
    <mergeCell ref="G74:O74"/>
    <mergeCell ref="G86:O86"/>
    <mergeCell ref="G87:O87"/>
    <mergeCell ref="G88:O88"/>
    <mergeCell ref="G89:O89"/>
    <mergeCell ref="G90:O90"/>
    <mergeCell ref="G91:O91"/>
    <mergeCell ref="G92:O92"/>
    <mergeCell ref="G93:O93"/>
    <mergeCell ref="G94:O94"/>
    <mergeCell ref="G95:O95"/>
    <mergeCell ref="G96:O96"/>
    <mergeCell ref="G97:O97"/>
    <mergeCell ref="G98:O98"/>
    <mergeCell ref="G99:O99"/>
    <mergeCell ref="G100:O100"/>
  </mergeCells>
  <pageMargins left="0.25" right="0.25"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3F15C-652D-4663-BCE5-C48B61407237}">
  <dimension ref="A1:F30"/>
  <sheetViews>
    <sheetView workbookViewId="0">
      <selection activeCell="H30" sqref="H30"/>
    </sheetView>
  </sheetViews>
  <sheetFormatPr defaultColWidth="9.140625" defaultRowHeight="13.15"/>
  <cols>
    <col min="1" max="1" width="11" style="143" customWidth="1"/>
    <col min="2" max="2" width="10.5703125" style="143" customWidth="1"/>
    <col min="3" max="3" width="10.42578125" style="143" customWidth="1"/>
    <col min="4" max="4" width="11.28515625" style="143" bestFit="1" customWidth="1"/>
    <col min="5" max="5" width="18.85546875" style="143" bestFit="1" customWidth="1"/>
    <col min="6" max="6" width="39.7109375" style="143" bestFit="1" customWidth="1"/>
    <col min="7" max="16384" width="9.140625" style="118"/>
  </cols>
  <sheetData>
    <row r="1" spans="1:6" ht="37.5" customHeight="1" thickBot="1">
      <c r="A1" s="144" t="s">
        <v>2</v>
      </c>
      <c r="B1" s="144" t="s">
        <v>91</v>
      </c>
      <c r="C1" s="144" t="s">
        <v>92</v>
      </c>
      <c r="D1" s="144" t="s">
        <v>93</v>
      </c>
      <c r="E1" s="144" t="s">
        <v>94</v>
      </c>
      <c r="F1" s="144" t="s">
        <v>95</v>
      </c>
    </row>
    <row r="2" spans="1:6">
      <c r="A2" s="139">
        <v>44609</v>
      </c>
      <c r="B2" s="140">
        <v>23</v>
      </c>
      <c r="C2" s="140"/>
      <c r="D2" s="140"/>
      <c r="E2" s="140"/>
      <c r="F2" s="140"/>
    </row>
    <row r="3" spans="1:6">
      <c r="A3" s="141">
        <v>44609</v>
      </c>
      <c r="B3" s="142">
        <v>14</v>
      </c>
      <c r="C3" s="142"/>
      <c r="D3" s="142"/>
      <c r="E3" s="142"/>
      <c r="F3" s="142"/>
    </row>
    <row r="4" spans="1:6">
      <c r="A4" s="141">
        <v>44613</v>
      </c>
      <c r="B4" s="142">
        <v>0</v>
      </c>
      <c r="C4" s="142">
        <v>0</v>
      </c>
      <c r="D4" s="142">
        <v>7</v>
      </c>
      <c r="E4" s="142">
        <v>0</v>
      </c>
      <c r="F4" s="142" t="s">
        <v>96</v>
      </c>
    </row>
    <row r="5" spans="1:6">
      <c r="A5" s="141">
        <v>44614</v>
      </c>
      <c r="B5" s="142">
        <v>0</v>
      </c>
      <c r="C5" s="142">
        <v>27</v>
      </c>
      <c r="D5" s="142">
        <v>4</v>
      </c>
      <c r="E5" s="142">
        <v>0</v>
      </c>
      <c r="F5" s="142" t="s">
        <v>97</v>
      </c>
    </row>
    <row r="6" spans="1:6">
      <c r="A6" s="173">
        <v>44648</v>
      </c>
      <c r="B6" s="172">
        <v>4</v>
      </c>
      <c r="C6" s="172">
        <v>0</v>
      </c>
      <c r="D6" s="172">
        <v>4</v>
      </c>
      <c r="E6" s="172">
        <v>0</v>
      </c>
      <c r="F6" s="174" t="s">
        <v>98</v>
      </c>
    </row>
    <row r="7" spans="1:6">
      <c r="A7" s="142"/>
      <c r="B7" s="142"/>
      <c r="C7" s="142"/>
      <c r="D7" s="142"/>
      <c r="E7" s="142"/>
      <c r="F7" s="142"/>
    </row>
    <row r="8" spans="1:6">
      <c r="A8" s="142"/>
      <c r="B8" s="142"/>
      <c r="C8" s="142"/>
      <c r="D8" s="142"/>
      <c r="E8" s="142"/>
      <c r="F8" s="142"/>
    </row>
    <row r="9" spans="1:6">
      <c r="A9" s="142"/>
      <c r="B9" s="142"/>
      <c r="C9" s="142"/>
      <c r="D9" s="142"/>
      <c r="E9" s="142"/>
      <c r="F9" s="142"/>
    </row>
    <row r="10" spans="1:6">
      <c r="A10" s="142"/>
      <c r="B10" s="142"/>
      <c r="C10" s="142"/>
      <c r="D10" s="142"/>
      <c r="E10" s="142"/>
      <c r="F10" s="142"/>
    </row>
    <row r="11" spans="1:6">
      <c r="A11" s="142"/>
      <c r="B11" s="142"/>
      <c r="C11" s="142"/>
      <c r="D11" s="142"/>
      <c r="E11" s="142"/>
      <c r="F11" s="142"/>
    </row>
    <row r="12" spans="1:6">
      <c r="A12" s="142"/>
      <c r="B12" s="142"/>
      <c r="C12" s="142"/>
      <c r="D12" s="142"/>
      <c r="E12" s="142"/>
      <c r="F12" s="142"/>
    </row>
    <row r="13" spans="1:6">
      <c r="A13" s="142"/>
      <c r="B13" s="142"/>
      <c r="C13" s="142"/>
      <c r="D13" s="142"/>
      <c r="E13" s="142"/>
      <c r="F13" s="142"/>
    </row>
    <row r="14" spans="1:6">
      <c r="A14" s="142"/>
      <c r="B14" s="142"/>
      <c r="C14" s="142"/>
      <c r="D14" s="142"/>
      <c r="E14" s="142"/>
      <c r="F14" s="142"/>
    </row>
    <row r="15" spans="1:6">
      <c r="A15" s="142"/>
      <c r="B15" s="142"/>
      <c r="C15" s="142"/>
      <c r="D15" s="142"/>
      <c r="E15" s="142"/>
      <c r="F15" s="142"/>
    </row>
    <row r="16" spans="1:6">
      <c r="A16" s="142"/>
      <c r="B16" s="142"/>
      <c r="C16" s="142"/>
      <c r="D16" s="142"/>
      <c r="E16" s="142"/>
      <c r="F16" s="142"/>
    </row>
    <row r="17" spans="1:6">
      <c r="A17" s="142"/>
      <c r="B17" s="142"/>
      <c r="C17" s="142"/>
      <c r="D17" s="142"/>
      <c r="E17" s="142"/>
      <c r="F17" s="142"/>
    </row>
    <row r="18" spans="1:6">
      <c r="A18" s="142"/>
      <c r="B18" s="142"/>
      <c r="C18" s="142"/>
      <c r="D18" s="142"/>
      <c r="E18" s="142"/>
      <c r="F18" s="142"/>
    </row>
    <row r="19" spans="1:6">
      <c r="A19" s="142"/>
      <c r="B19" s="142"/>
      <c r="C19" s="142"/>
      <c r="D19" s="142"/>
      <c r="E19" s="142"/>
      <c r="F19" s="142"/>
    </row>
    <row r="20" spans="1:6">
      <c r="A20" s="142"/>
      <c r="B20" s="142"/>
      <c r="C20" s="142"/>
      <c r="D20" s="142"/>
      <c r="E20" s="142"/>
      <c r="F20" s="142"/>
    </row>
    <row r="21" spans="1:6">
      <c r="A21" s="142"/>
      <c r="B21" s="142"/>
      <c r="C21" s="142"/>
      <c r="D21" s="142"/>
      <c r="E21" s="142"/>
      <c r="F21" s="142"/>
    </row>
    <row r="22" spans="1:6">
      <c r="A22" s="142"/>
      <c r="B22" s="142"/>
      <c r="C22" s="142"/>
      <c r="D22" s="142"/>
      <c r="E22" s="142"/>
      <c r="F22" s="142"/>
    </row>
    <row r="23" spans="1:6">
      <c r="A23" s="142"/>
      <c r="B23" s="142"/>
      <c r="C23" s="142"/>
      <c r="D23" s="142"/>
      <c r="E23" s="142"/>
      <c r="F23" s="142"/>
    </row>
    <row r="24" spans="1:6">
      <c r="A24" s="142"/>
      <c r="B24" s="142"/>
      <c r="C24" s="142"/>
      <c r="D24" s="142"/>
      <c r="E24" s="142"/>
      <c r="F24" s="142"/>
    </row>
    <row r="25" spans="1:6">
      <c r="A25" s="142"/>
      <c r="B25" s="142"/>
      <c r="C25" s="142"/>
      <c r="D25" s="142"/>
      <c r="E25" s="142"/>
      <c r="F25" s="142"/>
    </row>
    <row r="26" spans="1:6">
      <c r="A26" s="142"/>
      <c r="B26" s="142"/>
      <c r="C26" s="142"/>
      <c r="D26" s="142"/>
      <c r="E26" s="142"/>
      <c r="F26" s="142"/>
    </row>
    <row r="27" spans="1:6">
      <c r="A27" s="142"/>
      <c r="B27" s="142"/>
      <c r="C27" s="142"/>
      <c r="D27" s="142"/>
      <c r="E27" s="142"/>
      <c r="F27" s="142"/>
    </row>
    <row r="28" spans="1:6">
      <c r="A28" s="142"/>
      <c r="B28" s="142"/>
      <c r="C28" s="142"/>
      <c r="D28" s="142"/>
      <c r="E28" s="142"/>
      <c r="F28" s="142"/>
    </row>
    <row r="29" spans="1:6">
      <c r="A29" s="142"/>
      <c r="B29" s="142"/>
      <c r="C29" s="142"/>
      <c r="D29" s="142"/>
      <c r="E29" s="142"/>
      <c r="F29" s="142"/>
    </row>
    <row r="30" spans="1:6">
      <c r="A30" s="142"/>
      <c r="B30" s="142"/>
      <c r="C30" s="142"/>
      <c r="D30" s="142"/>
      <c r="E30" s="142"/>
      <c r="F30" s="14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80044-32A4-4063-A326-2E8B9F96C804}">
  <dimension ref="A1:M30"/>
  <sheetViews>
    <sheetView workbookViewId="0">
      <pane ySplit="1" topLeftCell="A2" activePane="bottomLeft" state="frozen"/>
      <selection pane="bottomLeft" activeCell="I42" sqref="I42"/>
    </sheetView>
  </sheetViews>
  <sheetFormatPr defaultColWidth="9.140625" defaultRowHeight="14.45"/>
  <cols>
    <col min="1" max="1" width="9.140625" style="10"/>
    <col min="2" max="7" width="9.140625" style="13"/>
    <col min="8" max="11" width="9.140625" style="10"/>
    <col min="12" max="12" width="50.42578125" style="10" bestFit="1" customWidth="1"/>
    <col min="13" max="16384" width="9.140625" style="10"/>
  </cols>
  <sheetData>
    <row r="1" spans="1:13" ht="79.900000000000006" thickBot="1">
      <c r="A1" s="18" t="s">
        <v>2</v>
      </c>
      <c r="B1" s="19" t="s">
        <v>47</v>
      </c>
      <c r="C1" s="19" t="s">
        <v>48</v>
      </c>
      <c r="D1" s="19" t="s">
        <v>49</v>
      </c>
      <c r="E1" s="19" t="s">
        <v>50</v>
      </c>
      <c r="F1" s="19" t="s">
        <v>51</v>
      </c>
      <c r="G1" s="20" t="s">
        <v>45</v>
      </c>
      <c r="H1" s="18" t="s">
        <v>99</v>
      </c>
      <c r="I1" s="18" t="s">
        <v>100</v>
      </c>
      <c r="J1" s="18" t="s">
        <v>101</v>
      </c>
      <c r="K1" s="18" t="s">
        <v>102</v>
      </c>
      <c r="L1" s="21" t="s">
        <v>103</v>
      </c>
      <c r="M1" s="1"/>
    </row>
    <row r="2" spans="1:13">
      <c r="A2" s="14">
        <v>44579</v>
      </c>
      <c r="B2" s="15">
        <v>20</v>
      </c>
      <c r="C2" s="15">
        <v>5</v>
      </c>
      <c r="D2" s="15">
        <v>9</v>
      </c>
      <c r="E2" s="15">
        <v>0</v>
      </c>
      <c r="F2" s="15">
        <v>0</v>
      </c>
      <c r="G2" s="16">
        <v>34</v>
      </c>
      <c r="H2" s="17">
        <v>1</v>
      </c>
      <c r="I2" s="17">
        <v>1</v>
      </c>
      <c r="J2" s="17">
        <v>0</v>
      </c>
      <c r="K2" s="17">
        <v>0</v>
      </c>
      <c r="L2" s="17" t="s">
        <v>104</v>
      </c>
      <c r="M2" s="1"/>
    </row>
    <row r="3" spans="1:13">
      <c r="A3" s="9">
        <v>44594</v>
      </c>
      <c r="B3" s="12">
        <v>52</v>
      </c>
      <c r="C3" s="12">
        <v>0</v>
      </c>
      <c r="D3" s="12">
        <v>0</v>
      </c>
      <c r="E3" s="12">
        <v>0</v>
      </c>
      <c r="F3" s="12">
        <v>0</v>
      </c>
      <c r="G3" s="11">
        <v>52</v>
      </c>
      <c r="H3" s="5">
        <v>2</v>
      </c>
      <c r="I3" s="5">
        <v>0</v>
      </c>
      <c r="J3" s="5">
        <v>0</v>
      </c>
      <c r="K3" s="5">
        <v>0</v>
      </c>
      <c r="L3" s="5"/>
      <c r="M3" s="1"/>
    </row>
    <row r="4" spans="1:13">
      <c r="A4" s="9">
        <v>44586</v>
      </c>
      <c r="B4" s="12">
        <v>0</v>
      </c>
      <c r="C4" s="12">
        <v>11</v>
      </c>
      <c r="D4" s="12">
        <v>0</v>
      </c>
      <c r="E4" s="12">
        <v>0</v>
      </c>
      <c r="F4" s="12">
        <v>0</v>
      </c>
      <c r="G4" s="11">
        <v>11</v>
      </c>
      <c r="H4" s="5">
        <v>2</v>
      </c>
      <c r="I4" s="5">
        <v>0</v>
      </c>
      <c r="J4" s="5">
        <v>0</v>
      </c>
      <c r="K4" s="5">
        <v>0</v>
      </c>
      <c r="L4" s="5"/>
      <c r="M4" s="1"/>
    </row>
    <row r="5" spans="1:13">
      <c r="A5" s="9">
        <v>44600</v>
      </c>
      <c r="B5" s="12">
        <v>0</v>
      </c>
      <c r="C5" s="12">
        <v>21</v>
      </c>
      <c r="D5" s="12">
        <v>0</v>
      </c>
      <c r="E5" s="12">
        <v>0</v>
      </c>
      <c r="F5" s="12">
        <v>0</v>
      </c>
      <c r="G5" s="11">
        <v>21</v>
      </c>
      <c r="H5" s="5">
        <v>2</v>
      </c>
      <c r="I5" s="5">
        <v>0</v>
      </c>
      <c r="J5" s="5">
        <v>0</v>
      </c>
      <c r="K5" s="5">
        <v>0</v>
      </c>
      <c r="L5" s="5" t="s">
        <v>105</v>
      </c>
      <c r="M5" s="1"/>
    </row>
    <row r="6" spans="1:13">
      <c r="A6" s="9">
        <v>44606</v>
      </c>
      <c r="B6" s="12">
        <v>6</v>
      </c>
      <c r="C6" s="12">
        <v>53</v>
      </c>
      <c r="D6" s="12">
        <v>0</v>
      </c>
      <c r="E6" s="12">
        <v>0</v>
      </c>
      <c r="F6" s="12">
        <v>0</v>
      </c>
      <c r="G6" s="11">
        <v>59</v>
      </c>
      <c r="H6" s="5">
        <v>2</v>
      </c>
      <c r="I6" s="5">
        <v>0</v>
      </c>
      <c r="J6" s="5">
        <v>0</v>
      </c>
      <c r="K6" s="5">
        <v>0</v>
      </c>
      <c r="L6" s="5" t="s">
        <v>104</v>
      </c>
      <c r="M6" s="1"/>
    </row>
    <row r="7" spans="1:13">
      <c r="A7" s="9">
        <v>44609</v>
      </c>
      <c r="B7" s="12">
        <v>6</v>
      </c>
      <c r="C7" s="12">
        <v>95</v>
      </c>
      <c r="D7" s="12">
        <v>0</v>
      </c>
      <c r="E7" s="12">
        <v>0</v>
      </c>
      <c r="F7" s="12">
        <v>0</v>
      </c>
      <c r="G7" s="11">
        <v>101</v>
      </c>
      <c r="H7" s="5">
        <v>2</v>
      </c>
      <c r="I7" s="5">
        <v>0</v>
      </c>
      <c r="J7" s="5">
        <v>23</v>
      </c>
      <c r="K7" s="5">
        <v>23</v>
      </c>
      <c r="L7" s="5" t="s">
        <v>106</v>
      </c>
      <c r="M7" s="1"/>
    </row>
    <row r="8" spans="1:13">
      <c r="A8" s="9">
        <v>44614</v>
      </c>
      <c r="B8" s="12">
        <v>12</v>
      </c>
      <c r="C8" s="12">
        <v>18</v>
      </c>
      <c r="D8" s="12">
        <v>0</v>
      </c>
      <c r="E8" s="12">
        <v>0</v>
      </c>
      <c r="F8" s="12">
        <v>0</v>
      </c>
      <c r="G8" s="11">
        <v>30</v>
      </c>
      <c r="H8" s="5">
        <v>2</v>
      </c>
      <c r="I8" s="5">
        <v>0</v>
      </c>
      <c r="J8" s="5">
        <v>37</v>
      </c>
      <c r="K8" s="5">
        <v>14</v>
      </c>
      <c r="L8" s="5" t="s">
        <v>104</v>
      </c>
      <c r="M8" s="1"/>
    </row>
    <row r="9" spans="1:13">
      <c r="A9" s="9">
        <v>44620</v>
      </c>
      <c r="B9" s="12">
        <v>37</v>
      </c>
      <c r="C9" s="12">
        <v>36</v>
      </c>
      <c r="D9" s="12">
        <v>4</v>
      </c>
      <c r="E9" s="12">
        <v>0</v>
      </c>
      <c r="F9" s="12">
        <v>0</v>
      </c>
      <c r="G9" s="11">
        <v>77</v>
      </c>
      <c r="H9" s="5">
        <v>2</v>
      </c>
      <c r="I9" s="5">
        <v>0</v>
      </c>
      <c r="J9" s="5">
        <v>37</v>
      </c>
      <c r="K9" s="5">
        <v>0</v>
      </c>
      <c r="L9" s="5" t="s">
        <v>106</v>
      </c>
      <c r="M9" s="1"/>
    </row>
    <row r="10" spans="1:13">
      <c r="A10" s="9">
        <v>44628</v>
      </c>
      <c r="B10" s="12">
        <v>11</v>
      </c>
      <c r="C10" s="12">
        <v>3</v>
      </c>
      <c r="D10" s="12">
        <v>4</v>
      </c>
      <c r="E10" s="12">
        <v>0</v>
      </c>
      <c r="F10" s="12">
        <v>0</v>
      </c>
      <c r="G10" s="11">
        <v>18</v>
      </c>
      <c r="H10" s="5">
        <v>2</v>
      </c>
      <c r="I10" s="5">
        <v>0</v>
      </c>
      <c r="J10" s="5">
        <v>37</v>
      </c>
      <c r="K10" s="5">
        <v>0</v>
      </c>
      <c r="L10" s="5" t="s">
        <v>104</v>
      </c>
      <c r="M10" s="1"/>
    </row>
    <row r="11" spans="1:13">
      <c r="A11" s="9">
        <v>44635</v>
      </c>
      <c r="B11" s="12">
        <v>16</v>
      </c>
      <c r="C11" s="12">
        <v>1</v>
      </c>
      <c r="D11" s="12">
        <v>4</v>
      </c>
      <c r="E11" s="12">
        <v>0</v>
      </c>
      <c r="F11" s="12">
        <v>0</v>
      </c>
      <c r="G11" s="11">
        <v>21</v>
      </c>
      <c r="H11" s="5">
        <v>2</v>
      </c>
      <c r="I11" s="5">
        <v>0</v>
      </c>
      <c r="J11" s="5">
        <v>37</v>
      </c>
      <c r="K11" s="5">
        <v>0</v>
      </c>
      <c r="L11" s="5" t="s">
        <v>107</v>
      </c>
      <c r="M11" s="1"/>
    </row>
    <row r="12" spans="1:13">
      <c r="A12" s="173">
        <v>44642</v>
      </c>
      <c r="B12" s="175">
        <v>5</v>
      </c>
      <c r="C12" s="175">
        <v>17</v>
      </c>
      <c r="D12" s="175">
        <v>4</v>
      </c>
      <c r="E12" s="175">
        <v>0</v>
      </c>
      <c r="F12" s="175">
        <v>0</v>
      </c>
      <c r="G12" s="176">
        <v>26</v>
      </c>
      <c r="H12" s="172">
        <v>3</v>
      </c>
      <c r="I12" s="172">
        <v>1</v>
      </c>
      <c r="J12" s="172">
        <v>37</v>
      </c>
      <c r="K12" s="172">
        <v>0</v>
      </c>
      <c r="L12" s="5" t="s">
        <v>107</v>
      </c>
      <c r="M12" s="1"/>
    </row>
    <row r="13" spans="1:13">
      <c r="A13" s="173">
        <v>44649</v>
      </c>
      <c r="B13" s="175">
        <v>5</v>
      </c>
      <c r="C13" s="175">
        <v>30</v>
      </c>
      <c r="D13" s="175">
        <v>0</v>
      </c>
      <c r="E13" s="175">
        <v>0</v>
      </c>
      <c r="F13" s="175">
        <v>0</v>
      </c>
      <c r="G13" s="176">
        <v>35</v>
      </c>
      <c r="H13" s="172">
        <v>4</v>
      </c>
      <c r="I13" s="172">
        <v>1</v>
      </c>
      <c r="J13" s="172">
        <v>37</v>
      </c>
      <c r="K13" s="172" t="s">
        <v>108</v>
      </c>
      <c r="L13" s="5" t="s">
        <v>107</v>
      </c>
      <c r="M13" s="1"/>
    </row>
    <row r="14" spans="1:13">
      <c r="A14" s="173">
        <v>44656</v>
      </c>
      <c r="B14" s="175">
        <v>51</v>
      </c>
      <c r="C14" s="175">
        <v>0</v>
      </c>
      <c r="D14" s="175">
        <v>0</v>
      </c>
      <c r="E14" s="175">
        <v>0</v>
      </c>
      <c r="F14" s="175">
        <v>0</v>
      </c>
      <c r="G14" s="176">
        <v>51</v>
      </c>
      <c r="H14" s="172">
        <v>4</v>
      </c>
      <c r="I14" s="172">
        <v>0</v>
      </c>
      <c r="J14" s="172">
        <v>37</v>
      </c>
      <c r="K14" s="172">
        <v>0</v>
      </c>
      <c r="L14" s="5"/>
      <c r="M14" s="1"/>
    </row>
    <row r="15" spans="1:13">
      <c r="A15" s="173">
        <v>44664</v>
      </c>
      <c r="B15" s="172">
        <v>75</v>
      </c>
      <c r="C15" s="172">
        <v>8</v>
      </c>
      <c r="D15" s="172">
        <v>0</v>
      </c>
      <c r="E15" s="172">
        <v>0</v>
      </c>
      <c r="F15" s="172">
        <v>0</v>
      </c>
      <c r="G15" s="176">
        <v>83</v>
      </c>
      <c r="H15" s="172">
        <v>4</v>
      </c>
      <c r="I15" s="172">
        <v>0</v>
      </c>
      <c r="J15" s="172">
        <v>37</v>
      </c>
      <c r="K15" s="172">
        <v>0</v>
      </c>
      <c r="L15" s="5" t="s">
        <v>109</v>
      </c>
      <c r="M15" s="1"/>
    </row>
    <row r="16" spans="1:13">
      <c r="A16" s="173">
        <v>44673</v>
      </c>
      <c r="B16" s="172">
        <v>45</v>
      </c>
      <c r="C16" s="172">
        <v>9</v>
      </c>
      <c r="D16" s="172">
        <v>0</v>
      </c>
      <c r="E16" s="172">
        <v>2</v>
      </c>
      <c r="F16" s="172">
        <v>0</v>
      </c>
      <c r="G16" s="176">
        <v>56</v>
      </c>
      <c r="H16" s="172">
        <v>4</v>
      </c>
      <c r="I16" s="172">
        <v>0</v>
      </c>
      <c r="J16" s="172">
        <v>37</v>
      </c>
      <c r="K16" s="172">
        <v>0</v>
      </c>
      <c r="L16" s="5" t="s">
        <v>109</v>
      </c>
      <c r="M16" s="1"/>
    </row>
    <row r="17" spans="1:13">
      <c r="A17" s="173">
        <v>44679</v>
      </c>
      <c r="B17" s="172">
        <v>6</v>
      </c>
      <c r="C17" s="172">
        <v>3</v>
      </c>
      <c r="D17" s="172">
        <v>0</v>
      </c>
      <c r="E17" s="172">
        <v>0</v>
      </c>
      <c r="F17" s="172">
        <v>0</v>
      </c>
      <c r="G17" s="176">
        <v>9</v>
      </c>
      <c r="H17" s="172">
        <v>4</v>
      </c>
      <c r="I17" s="172">
        <v>0</v>
      </c>
      <c r="J17" s="172">
        <v>37</v>
      </c>
      <c r="K17" s="172">
        <v>0</v>
      </c>
      <c r="L17" s="5" t="s">
        <v>109</v>
      </c>
      <c r="M17" s="1"/>
    </row>
    <row r="18" spans="1:13">
      <c r="A18" s="9"/>
      <c r="B18" s="12"/>
      <c r="C18" s="12"/>
      <c r="D18" s="12"/>
      <c r="E18" s="12"/>
      <c r="F18" s="12"/>
      <c r="G18" s="11"/>
      <c r="H18" s="5"/>
      <c r="I18" s="5"/>
      <c r="J18" s="5"/>
      <c r="K18" s="5"/>
      <c r="L18" s="5"/>
      <c r="M18" s="1"/>
    </row>
    <row r="19" spans="1:13">
      <c r="A19" s="9"/>
      <c r="B19" s="12"/>
      <c r="C19" s="12"/>
      <c r="D19" s="12"/>
      <c r="E19" s="12"/>
      <c r="F19" s="12"/>
      <c r="G19" s="11"/>
      <c r="H19" s="5"/>
      <c r="I19" s="5"/>
      <c r="J19" s="5"/>
      <c r="K19" s="5"/>
      <c r="L19" s="5"/>
      <c r="M19" s="1"/>
    </row>
    <row r="20" spans="1:13">
      <c r="A20" s="9"/>
      <c r="B20" s="12"/>
      <c r="C20" s="12"/>
      <c r="D20" s="12"/>
      <c r="E20" s="12"/>
      <c r="F20" s="12"/>
      <c r="G20" s="11"/>
      <c r="H20" s="5"/>
      <c r="I20" s="5"/>
      <c r="J20" s="5"/>
      <c r="K20" s="5"/>
      <c r="L20" s="5"/>
      <c r="M20" s="1"/>
    </row>
    <row r="21" spans="1:13">
      <c r="A21" s="9"/>
      <c r="B21" s="12"/>
      <c r="C21" s="12"/>
      <c r="D21" s="12"/>
      <c r="E21" s="12"/>
      <c r="F21" s="12"/>
      <c r="G21" s="11"/>
      <c r="H21" s="5"/>
      <c r="I21" s="5"/>
      <c r="J21" s="5"/>
      <c r="K21" s="5"/>
      <c r="L21" s="5"/>
      <c r="M21" s="1"/>
    </row>
    <row r="22" spans="1:13">
      <c r="A22" s="9"/>
      <c r="B22" s="12"/>
      <c r="C22" s="12"/>
      <c r="D22" s="12"/>
      <c r="E22" s="12"/>
      <c r="F22" s="12"/>
      <c r="G22" s="11"/>
      <c r="H22" s="5"/>
      <c r="I22" s="5"/>
      <c r="J22" s="5"/>
      <c r="K22" s="5"/>
      <c r="L22" s="5"/>
      <c r="M22" s="1"/>
    </row>
    <row r="23" spans="1:13">
      <c r="A23" s="9"/>
      <c r="B23" s="12"/>
      <c r="C23" s="12"/>
      <c r="D23" s="12"/>
      <c r="E23" s="12"/>
      <c r="F23" s="12"/>
      <c r="G23" s="11"/>
      <c r="H23" s="5"/>
      <c r="I23" s="5"/>
      <c r="J23" s="5"/>
      <c r="K23" s="5"/>
      <c r="L23" s="5"/>
      <c r="M23" s="1"/>
    </row>
    <row r="24" spans="1:13">
      <c r="A24" s="9"/>
      <c r="B24" s="12"/>
      <c r="C24" s="12"/>
      <c r="D24" s="12"/>
      <c r="E24" s="12"/>
      <c r="F24" s="12"/>
      <c r="G24" s="11"/>
      <c r="H24" s="5"/>
      <c r="I24" s="5"/>
      <c r="J24" s="5"/>
      <c r="K24" s="5"/>
      <c r="L24" s="5"/>
      <c r="M24" s="1"/>
    </row>
    <row r="25" spans="1:13">
      <c r="A25" s="9"/>
      <c r="B25" s="12"/>
      <c r="C25" s="12"/>
      <c r="D25" s="12"/>
      <c r="E25" s="12"/>
      <c r="F25" s="12"/>
      <c r="G25" s="11"/>
      <c r="H25" s="5"/>
      <c r="I25" s="5"/>
      <c r="J25" s="5"/>
      <c r="K25" s="5"/>
      <c r="L25" s="5"/>
      <c r="M25" s="1"/>
    </row>
    <row r="26" spans="1:13">
      <c r="A26" s="9"/>
      <c r="B26" s="12"/>
      <c r="C26" s="12"/>
      <c r="D26" s="12"/>
      <c r="E26" s="12"/>
      <c r="F26" s="12"/>
      <c r="G26" s="11"/>
      <c r="H26" s="5"/>
      <c r="I26" s="5"/>
      <c r="J26" s="5"/>
      <c r="K26" s="5"/>
      <c r="L26" s="5"/>
      <c r="M26" s="1"/>
    </row>
    <row r="27" spans="1:13">
      <c r="A27" s="9"/>
      <c r="B27" s="12"/>
      <c r="C27" s="12"/>
      <c r="D27" s="12"/>
      <c r="E27" s="12"/>
      <c r="F27" s="12"/>
      <c r="G27" s="11"/>
      <c r="H27" s="5"/>
      <c r="I27" s="5"/>
      <c r="J27" s="5"/>
      <c r="K27" s="5"/>
      <c r="L27" s="5"/>
      <c r="M27" s="1"/>
    </row>
    <row r="28" spans="1:13">
      <c r="A28" s="9"/>
      <c r="B28" s="12"/>
      <c r="C28" s="12"/>
      <c r="D28" s="12"/>
      <c r="E28" s="12"/>
      <c r="F28" s="12"/>
      <c r="G28" s="11"/>
      <c r="H28" s="5"/>
      <c r="I28" s="5"/>
      <c r="J28" s="5"/>
      <c r="K28" s="5"/>
      <c r="L28" s="5"/>
      <c r="M28" s="1"/>
    </row>
    <row r="29" spans="1:13">
      <c r="A29" s="9"/>
      <c r="B29" s="12"/>
      <c r="C29" s="12"/>
      <c r="D29" s="12"/>
      <c r="E29" s="12"/>
      <c r="F29" s="12"/>
      <c r="G29" s="11"/>
      <c r="H29" s="5"/>
      <c r="I29" s="5"/>
      <c r="J29" s="5"/>
      <c r="K29" s="5"/>
      <c r="L29" s="5"/>
      <c r="M29" s="1"/>
    </row>
    <row r="30" spans="1:13">
      <c r="A30" s="9"/>
      <c r="B30" s="12"/>
      <c r="C30" s="12"/>
      <c r="D30" s="12"/>
      <c r="E30" s="12"/>
      <c r="F30" s="12"/>
      <c r="G30" s="11"/>
      <c r="H30" s="5"/>
      <c r="I30" s="5"/>
      <c r="J30" s="5"/>
      <c r="K30" s="5"/>
      <c r="L30" s="5"/>
      <c r="M30"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04C27-5D72-4DF7-ABA6-876867FE8038}">
  <dimension ref="A1:I12"/>
  <sheetViews>
    <sheetView workbookViewId="0">
      <selection activeCell="H28" sqref="H28"/>
    </sheetView>
  </sheetViews>
  <sheetFormatPr defaultRowHeight="14.45"/>
  <sheetData>
    <row r="1" spans="1:9">
      <c r="A1" s="145"/>
      <c r="B1" s="145"/>
      <c r="C1" s="145"/>
      <c r="D1" s="145"/>
      <c r="E1" s="145"/>
      <c r="F1" s="145"/>
      <c r="G1" s="145"/>
      <c r="H1" s="145"/>
      <c r="I1" s="145"/>
    </row>
    <row r="2" spans="1:9" ht="15" thickBot="1">
      <c r="A2" s="145"/>
      <c r="B2" s="146" t="s">
        <v>2</v>
      </c>
      <c r="C2" s="146" t="s">
        <v>110</v>
      </c>
      <c r="D2" s="146" t="s">
        <v>111</v>
      </c>
      <c r="E2" s="146" t="s">
        <v>112</v>
      </c>
      <c r="F2" s="146" t="s">
        <v>113</v>
      </c>
      <c r="G2" s="146" t="s">
        <v>114</v>
      </c>
      <c r="H2" s="146" t="s">
        <v>115</v>
      </c>
      <c r="I2" s="146" t="s">
        <v>77</v>
      </c>
    </row>
    <row r="3" spans="1:9" ht="15" thickBot="1">
      <c r="A3" s="145"/>
      <c r="B3" s="147"/>
      <c r="C3" s="147"/>
      <c r="D3" s="147"/>
      <c r="E3" s="147"/>
      <c r="F3" s="147"/>
      <c r="G3" s="147"/>
      <c r="H3" s="147"/>
      <c r="I3" s="147"/>
    </row>
    <row r="4" spans="1:9">
      <c r="A4" s="145"/>
      <c r="B4" s="148"/>
      <c r="C4" s="148"/>
      <c r="D4" s="148"/>
      <c r="E4" s="148"/>
      <c r="F4" s="148"/>
      <c r="G4" s="148"/>
      <c r="H4" s="148"/>
      <c r="I4" s="148"/>
    </row>
    <row r="5" spans="1:9">
      <c r="A5" s="145"/>
      <c r="B5" s="145"/>
      <c r="C5" s="145"/>
      <c r="D5" s="145"/>
      <c r="E5" s="145"/>
      <c r="F5" s="145"/>
      <c r="G5" s="145"/>
      <c r="H5" s="145"/>
      <c r="I5" s="145"/>
    </row>
    <row r="6" spans="1:9" ht="15" thickBot="1">
      <c r="A6" s="145"/>
      <c r="B6" s="149"/>
      <c r="C6" s="149"/>
      <c r="D6" s="149"/>
      <c r="E6" s="149"/>
      <c r="F6" s="149"/>
      <c r="G6" s="149"/>
      <c r="H6" s="149"/>
      <c r="I6" s="149"/>
    </row>
    <row r="7" spans="1:9">
      <c r="A7" s="145"/>
      <c r="B7" s="145"/>
      <c r="C7" s="145"/>
      <c r="D7" s="145"/>
      <c r="E7" s="145"/>
      <c r="F7" s="145"/>
      <c r="G7" s="145"/>
      <c r="H7" s="145"/>
      <c r="I7" s="145"/>
    </row>
    <row r="8" spans="1:9">
      <c r="A8" s="145"/>
      <c r="B8" s="145"/>
      <c r="C8" s="145"/>
      <c r="D8" s="145"/>
      <c r="E8" s="145"/>
      <c r="F8" s="145"/>
      <c r="G8" s="145"/>
      <c r="H8" s="145"/>
      <c r="I8" s="145"/>
    </row>
    <row r="9" spans="1:9">
      <c r="A9" s="145"/>
      <c r="B9" s="145"/>
      <c r="C9" s="145"/>
      <c r="D9" s="145"/>
      <c r="E9" s="145"/>
      <c r="F9" s="145"/>
      <c r="G9" s="145"/>
      <c r="H9" s="145"/>
      <c r="I9" s="145"/>
    </row>
    <row r="10" spans="1:9">
      <c r="A10" s="145"/>
      <c r="B10" s="145"/>
      <c r="C10" s="145"/>
      <c r="D10" s="145"/>
      <c r="E10" s="145"/>
      <c r="F10" s="145"/>
      <c r="G10" s="145"/>
      <c r="H10" s="145"/>
      <c r="I10" s="145"/>
    </row>
    <row r="11" spans="1:9" ht="15" thickBot="1">
      <c r="A11" s="145"/>
      <c r="B11" s="146" t="s">
        <v>2</v>
      </c>
      <c r="C11" s="146" t="s">
        <v>110</v>
      </c>
      <c r="D11" s="146" t="s">
        <v>111</v>
      </c>
      <c r="E11" s="146" t="s">
        <v>112</v>
      </c>
      <c r="F11" s="146" t="s">
        <v>113</v>
      </c>
      <c r="G11" s="146"/>
      <c r="H11" s="146" t="s">
        <v>115</v>
      </c>
      <c r="I11" s="145"/>
    </row>
    <row r="12" spans="1:9" ht="15" thickBot="1">
      <c r="A12" s="145"/>
      <c r="B12" s="147"/>
      <c r="C12" s="147"/>
      <c r="D12" s="147"/>
      <c r="E12" s="147"/>
      <c r="F12" s="147"/>
      <c r="G12" s="147"/>
      <c r="H12" s="147"/>
      <c r="I12" s="14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02C7E-6915-4047-82B7-2CEDA1229562}">
  <dimension ref="A1:B4"/>
  <sheetViews>
    <sheetView workbookViewId="0">
      <selection activeCell="B15" sqref="B15"/>
    </sheetView>
  </sheetViews>
  <sheetFormatPr defaultColWidth="9.140625" defaultRowHeight="14.45"/>
  <cols>
    <col min="1" max="1" width="8.140625" style="22" bestFit="1" customWidth="1"/>
    <col min="2" max="2" width="91.5703125" style="22" customWidth="1"/>
    <col min="3" max="16384" width="9.140625" style="22"/>
  </cols>
  <sheetData>
    <row r="1" spans="1:2" ht="31.5" customHeight="1" thickBot="1">
      <c r="A1" s="18" t="s">
        <v>2</v>
      </c>
      <c r="B1" s="18" t="s">
        <v>77</v>
      </c>
    </row>
    <row r="2" spans="1:2">
      <c r="A2" s="23">
        <v>44578</v>
      </c>
      <c r="B2" s="24" t="s">
        <v>116</v>
      </c>
    </row>
    <row r="3" spans="1:2">
      <c r="A3" s="23"/>
      <c r="B3" s="25"/>
    </row>
    <row r="4" spans="1:2">
      <c r="A4" s="23"/>
      <c r="B4" s="2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50582-347B-48A1-86E7-B986887C4113}">
  <dimension ref="A1:N19"/>
  <sheetViews>
    <sheetView workbookViewId="0">
      <selection activeCell="J29" sqref="J29"/>
    </sheetView>
  </sheetViews>
  <sheetFormatPr defaultRowHeight="14.45"/>
  <sheetData>
    <row r="1" spans="1:14">
      <c r="A1" s="317" t="s">
        <v>2</v>
      </c>
      <c r="B1" s="268" t="s">
        <v>6</v>
      </c>
      <c r="C1" s="269"/>
      <c r="D1" s="269"/>
      <c r="E1" s="269"/>
      <c r="F1" s="269"/>
      <c r="G1" s="270"/>
      <c r="H1" s="268" t="s">
        <v>7</v>
      </c>
      <c r="I1" s="269"/>
      <c r="J1" s="269"/>
      <c r="K1" s="269"/>
      <c r="L1" s="269"/>
      <c r="M1" s="271"/>
      <c r="N1" s="26"/>
    </row>
    <row r="2" spans="1:14">
      <c r="A2" s="318"/>
      <c r="B2" s="247" t="s">
        <v>40</v>
      </c>
      <c r="C2" s="248"/>
      <c r="D2" s="247" t="s">
        <v>41</v>
      </c>
      <c r="E2" s="248"/>
      <c r="F2" s="247" t="s">
        <v>42</v>
      </c>
      <c r="G2" s="248"/>
      <c r="H2" s="247" t="s">
        <v>40</v>
      </c>
      <c r="I2" s="248"/>
      <c r="J2" s="247" t="s">
        <v>41</v>
      </c>
      <c r="K2" s="248"/>
      <c r="L2" s="247" t="s">
        <v>42</v>
      </c>
      <c r="M2" s="249"/>
      <c r="N2" s="26"/>
    </row>
    <row r="3" spans="1:14" ht="15" thickBot="1">
      <c r="A3" s="319"/>
      <c r="B3" s="27" t="s">
        <v>43</v>
      </c>
      <c r="C3" s="6" t="s">
        <v>44</v>
      </c>
      <c r="D3" s="27" t="s">
        <v>43</v>
      </c>
      <c r="E3" s="6" t="s">
        <v>44</v>
      </c>
      <c r="F3" s="27" t="s">
        <v>43</v>
      </c>
      <c r="G3" s="6" t="s">
        <v>44</v>
      </c>
      <c r="H3" s="27" t="s">
        <v>43</v>
      </c>
      <c r="I3" s="6" t="s">
        <v>44</v>
      </c>
      <c r="J3" s="27" t="s">
        <v>43</v>
      </c>
      <c r="K3" s="6" t="s">
        <v>44</v>
      </c>
      <c r="L3" s="27" t="s">
        <v>43</v>
      </c>
      <c r="M3" s="8" t="s">
        <v>44</v>
      </c>
      <c r="N3" s="26"/>
    </row>
    <row r="4" spans="1:14">
      <c r="A4" s="164" cm="1">
        <f t="array" ref="A4:A5">IF(_xlfn.UNIQUE(Trapside!B5:B1005,FALSE,FALSE)&gt;1/1/2022,_xlfn.UNIQUE(Trapside!B5:B1005,FALSE,FALSE),"")</f>
        <v>44613</v>
      </c>
      <c r="B4" s="28">
        <f>IF(A4&lt;&gt;"",COUNTIFS(Trapside!F:F,"M",Trapside!G:G,"A",Trapside!AA:AA,"POSITIVE"),"")</f>
        <v>0</v>
      </c>
      <c r="C4" s="2">
        <f>IF(A4&lt;&gt;"",COUNTIFS(Trapside!F:F,"M",Trapside!G:G,"A",Trapside!AA:AA,"NEGATIVE"),"")</f>
        <v>0</v>
      </c>
      <c r="D4" s="28">
        <f>IF(A4&lt;&gt;"",COUNTIFS(Trapside!F:F,"M",Trapside!G:G,"Y",Trapside!AA:AA,"POSITIVE"),"")</f>
        <v>2</v>
      </c>
      <c r="E4" s="2">
        <f>IF(A4&lt;&gt;"",COUNTIFS(Trapside!F:F,"M",Trapside!G:G,"Y",Trapside!AA:AA,"NEGATIVE"),"")</f>
        <v>3</v>
      </c>
      <c r="F4" s="28">
        <f>IF(A4&lt;&gt;"",COUNTIFS(Trapside!F:F,"M",Trapside!G:G,"C",Trapside!AA:AA,"POSITIVE"),"")</f>
        <v>0</v>
      </c>
      <c r="G4" s="2">
        <f>IF(A4&lt;&gt;"",COUNTIFS(Trapside!F:F,"M",Trapside!G:G,"C",Trapside!AA:AA,"NEGATIVE"),"")</f>
        <v>0</v>
      </c>
      <c r="H4" s="28">
        <f>IF(A4&lt;&gt;"",COUNTIFS(Trapside!F:F,"F",Trapside!G:G,"A",Trapside!AA:AA,"POSITIVE"),"")</f>
        <v>0</v>
      </c>
      <c r="I4" s="2">
        <f>IF(A4&lt;&gt;"",COUNTIFS(Trapside!F:F,"F",Trapside!G:G,"A",Trapside!AA:AA,"NEGATIVE"),"")</f>
        <v>0</v>
      </c>
      <c r="J4" s="28">
        <f>IF(A4&lt;&gt;"",COUNTIFS(Trapside!F:F,"F",Trapside!G:G,"Y",Trapside!AA:AA,"POSITIVE"),"")</f>
        <v>0</v>
      </c>
      <c r="K4" s="2">
        <f>IF(A4&lt;&gt;"",COUNTIFS(Trapside!F:F,"F",Trapside!G:G,"Y",Trapside!AA:AA,"NEGATIVE"),"")</f>
        <v>1</v>
      </c>
      <c r="L4" s="28">
        <f>IF(A4&lt;&gt;"",COUNTIFS(Trapside!F:F,"F",Trapside!G:G,"C",Trapside!AA:AA,"POSITIVE"),"")</f>
        <v>1</v>
      </c>
      <c r="M4" s="3">
        <f>IF(A4&lt;&gt;"",COUNTIFS(Trapside!F:F,"F",Trapside!G:G,"C",Trapside!AA:AA,"NEGATIVE"),"")</f>
        <v>2</v>
      </c>
      <c r="N4" s="26"/>
    </row>
    <row r="5" spans="1:14">
      <c r="A5" s="164" t="str">
        <v/>
      </c>
      <c r="B5" s="28" t="str">
        <f>IF(A5&lt;&gt;"",COUNTIFS(Trapside!F:F,"M",Trapside!G:G,"A",Trapside!AA:AA,"POSITIVE"),"")</f>
        <v/>
      </c>
      <c r="C5" s="2" t="str">
        <f>IF(A5&lt;&gt;"",COUNTIFS(Trapside!F:F,"M",Trapside!G:G,"A",Trapside!AA:AA,"NEGATIVE"),"")</f>
        <v/>
      </c>
      <c r="D5" s="28" t="str">
        <f>IF(A5&lt;&gt;"",COUNTIFS(Trapside!F:F,"M",Trapside!G:G,"Y",Trapside!AA:AA,"POSITIVE"),"")</f>
        <v/>
      </c>
      <c r="E5" s="2" t="str">
        <f>IF(A5&lt;&gt;"",COUNTIFS(Trapside!F:F,"M",Trapside!G:G,"Y",Trapside!AA:AA,"NEGATIVE"),"")</f>
        <v/>
      </c>
      <c r="F5" s="28" t="str">
        <f>IF(A5&lt;&gt;"",COUNTIFS(Trapside!F:F,"M",Trapside!G:G,"C",Trapside!AA:AA,"POSITIVE"),"")</f>
        <v/>
      </c>
      <c r="G5" s="2" t="str">
        <f>IF(A5&lt;&gt;"",COUNTIFS(Trapside!F:F,"M",Trapside!G:G,"C",Trapside!AA:AA,"NEGATIVE"),"")</f>
        <v/>
      </c>
      <c r="H5" s="28" t="str">
        <f>IF(A5&lt;&gt;"",COUNTIFS(Trapside!F:F,"F",Trapside!G:G,"A",Trapside!AA:AA,"POSITIVE"),"")</f>
        <v/>
      </c>
      <c r="I5" s="2" t="str">
        <f>IF(A5&lt;&gt;"",COUNTIFS(Trapside!F:F,"F",Trapside!G:G,"A",Trapside!AA:AA,"NEGATIVE"),"")</f>
        <v/>
      </c>
      <c r="J5" s="28" t="str">
        <f>IF(A5&lt;&gt;"",COUNTIFS(Trapside!F:F,"F",Trapside!G:G,"Y",Trapside!AA:AA,"POSITIVE"),"")</f>
        <v/>
      </c>
      <c r="K5" s="2" t="str">
        <f>IF(A5&lt;&gt;"",COUNTIFS(Trapside!F:F,"F",Trapside!G:G,"Y",Trapside!AA:AA,"NEGATIVE"),"")</f>
        <v/>
      </c>
      <c r="L5" s="28" t="str">
        <f>IF(A5&lt;&gt;"",COUNTIFS(Trapside!F:F,"F",Trapside!G:G,"C",Trapside!AA:AA,"POSITIVE"),"")</f>
        <v/>
      </c>
      <c r="M5" s="3" t="str">
        <f>IF(A5&lt;&gt;"",COUNTIFS(Trapside!F:F,"F",Trapside!G:G,"C",Trapside!AA:AA,"NEGATIVE"),"")</f>
        <v/>
      </c>
      <c r="N5" s="26"/>
    </row>
    <row r="6" spans="1:14">
      <c r="A6" s="164"/>
      <c r="B6" s="28" t="str">
        <f>IF(A6&lt;&gt;"",COUNTIFS(Trapside!F:F,"M",Trapside!G:G,"A",Trapside!AA:AA,"POSITIVE"),"")</f>
        <v/>
      </c>
      <c r="C6" s="2" t="str">
        <f>IF(A6&lt;&gt;"",COUNTIFS(Trapside!F:F,"M",Trapside!G:G,"A",Trapside!AA:AA,"NEGATIVE"),"")</f>
        <v/>
      </c>
      <c r="D6" s="28" t="str">
        <f>IF(A6&lt;&gt;"",COUNTIFS(Trapside!F:F,"M",Trapside!G:G,"Y",Trapside!AA:AA,"POSITIVE"),"")</f>
        <v/>
      </c>
      <c r="E6" s="2" t="str">
        <f>IF(A6&lt;&gt;"",COUNTIFS(Trapside!F:F,"M",Trapside!G:G,"Y",Trapside!AA:AA,"NEGATIVE"),"")</f>
        <v/>
      </c>
      <c r="F6" s="28" t="str">
        <f>IF(A6&lt;&gt;"",COUNTIFS(Trapside!F:F,"M",Trapside!G:G,"C",Trapside!AA:AA,"POSITIVE"),"")</f>
        <v/>
      </c>
      <c r="G6" s="2" t="str">
        <f>IF(A6&lt;&gt;"",COUNTIFS(Trapside!F:F,"M",Trapside!G:G,"C",Trapside!AA:AA,"NEGATIVE"),"")</f>
        <v/>
      </c>
      <c r="H6" s="28" t="str">
        <f>IF(A6&lt;&gt;"",COUNTIFS(Trapside!F:F,"F",Trapside!G:G,"A",Trapside!AA:AA,"POSITIVE"),"")</f>
        <v/>
      </c>
      <c r="I6" s="2" t="str">
        <f>IF(A6&lt;&gt;"",COUNTIFS(Trapside!F:F,"F",Trapside!G:G,"A",Trapside!AA:AA,"NEGATIVE"),"")</f>
        <v/>
      </c>
      <c r="J6" s="28" t="str">
        <f>IF(A6&lt;&gt;"",COUNTIFS(Trapside!F:F,"F",Trapside!G:G,"Y",Trapside!AA:AA,"POSITIVE"),"")</f>
        <v/>
      </c>
      <c r="K6" s="2" t="str">
        <f>IF(A6&lt;&gt;"",COUNTIFS(Trapside!F:F,"F",Trapside!G:G,"Y",Trapside!AA:AA,"NEGATIVE"),"")</f>
        <v/>
      </c>
      <c r="L6" s="28" t="str">
        <f>IF(A6&lt;&gt;"",COUNTIFS(Trapside!F:F,"F",Trapside!G:G,"C",Trapside!AA:AA,"POSITIVE"),"")</f>
        <v/>
      </c>
      <c r="M6" s="3" t="str">
        <f>IF(A6&lt;&gt;"",COUNTIFS(Trapside!F:F,"F",Trapside!G:G,"C",Trapside!AA:AA,"NEGATIVE"),"")</f>
        <v/>
      </c>
      <c r="N6" s="26"/>
    </row>
    <row r="7" spans="1:14">
      <c r="A7" s="164"/>
      <c r="B7" s="28" t="str">
        <f>IF(A7&lt;&gt;"",COUNTIFS(Trapside!F:F,"M",Trapside!G:G,"A",Trapside!AA:AA,"POSITIVE"),"")</f>
        <v/>
      </c>
      <c r="C7" s="2" t="str">
        <f>IF(A7&lt;&gt;"",COUNTIFS(Trapside!F:F,"M",Trapside!G:G,"A",Trapside!AA:AA,"NEGATIVE"),"")</f>
        <v/>
      </c>
      <c r="D7" s="28" t="str">
        <f>IF(A7&lt;&gt;"",COUNTIFS(Trapside!F:F,"M",Trapside!G:G,"Y",Trapside!AA:AA,"POSITIVE"),"")</f>
        <v/>
      </c>
      <c r="E7" s="2" t="str">
        <f>IF(A7&lt;&gt;"",COUNTIFS(Trapside!F:F,"M",Trapside!G:G,"Y",Trapside!AA:AA,"NEGATIVE"),"")</f>
        <v/>
      </c>
      <c r="F7" s="28" t="str">
        <f>IF(A7&lt;&gt;"",COUNTIFS(Trapside!F:F,"M",Trapside!G:G,"C",Trapside!AA:AA,"POSITIVE"),"")</f>
        <v/>
      </c>
      <c r="G7" s="2" t="str">
        <f>IF(A7&lt;&gt;"",COUNTIFS(Trapside!F:F,"M",Trapside!G:G,"C",Trapside!AA:AA,"NEGATIVE"),"")</f>
        <v/>
      </c>
      <c r="H7" s="28" t="str">
        <f>IF(A7&lt;&gt;"",COUNTIFS(Trapside!F:F,"F",Trapside!G:G,"A",Trapside!AA:AA,"POSITIVE"),"")</f>
        <v/>
      </c>
      <c r="I7" s="2" t="str">
        <f>IF(A7&lt;&gt;"",COUNTIFS(Trapside!F:F,"F",Trapside!G:G,"A",Trapside!AA:AA,"NEGATIVE"),"")</f>
        <v/>
      </c>
      <c r="J7" s="28" t="str">
        <f>IF(A7&lt;&gt;"",COUNTIFS(Trapside!F:F,"F",Trapside!G:G,"Y",Trapside!AA:AA,"POSITIVE"),"")</f>
        <v/>
      </c>
      <c r="K7" s="2" t="str">
        <f>IF(A7&lt;&gt;"",COUNTIFS(Trapside!F:F,"F",Trapside!G:G,"Y",Trapside!AA:AA,"NEGATIVE"),"")</f>
        <v/>
      </c>
      <c r="L7" s="28" t="str">
        <f>IF(A7&lt;&gt;"",COUNTIFS(Trapside!F:F,"F",Trapside!G:G,"C",Trapside!AA:AA,"POSITIVE"),"")</f>
        <v/>
      </c>
      <c r="M7" s="3" t="str">
        <f>IF(A7&lt;&gt;"",COUNTIFS(Trapside!F:F,"F",Trapside!G:G,"C",Trapside!AA:AA,"NEGATIVE"),"")</f>
        <v/>
      </c>
      <c r="N7" s="26"/>
    </row>
    <row r="8" spans="1:14">
      <c r="A8" s="164"/>
      <c r="B8" s="28" t="str">
        <f>IF(A8&lt;&gt;"",COUNTIFS(Trapside!F:F,"M",Trapside!G:G,"A",Trapside!AA:AA,"POSITIVE"),"")</f>
        <v/>
      </c>
      <c r="C8" s="2" t="str">
        <f>IF(A8&lt;&gt;"",COUNTIFS(Trapside!F:F,"M",Trapside!G:G,"A",Trapside!AA:AA,"NEGATIVE"),"")</f>
        <v/>
      </c>
      <c r="D8" s="28" t="str">
        <f>IF(A8&lt;&gt;"",COUNTIFS(Trapside!F:F,"M",Trapside!G:G,"Y",Trapside!AA:AA,"POSITIVE"),"")</f>
        <v/>
      </c>
      <c r="E8" s="2" t="str">
        <f>IF(A8&lt;&gt;"",COUNTIFS(Trapside!F:F,"M",Trapside!G:G,"Y",Trapside!AA:AA,"NEGATIVE"),"")</f>
        <v/>
      </c>
      <c r="F8" s="28" t="str">
        <f>IF(A8&lt;&gt;"",COUNTIFS(Trapside!F:F,"M",Trapside!G:G,"C",Trapside!AA:AA,"POSITIVE"),"")</f>
        <v/>
      </c>
      <c r="G8" s="2" t="str">
        <f>IF(A8&lt;&gt;"",COUNTIFS(Trapside!F:F,"M",Trapside!G:G,"C",Trapside!AA:AA,"NEGATIVE"),"")</f>
        <v/>
      </c>
      <c r="H8" s="28" t="str">
        <f>IF(A8&lt;&gt;"",COUNTIFS(Trapside!F:F,"F",Trapside!G:G,"A",Trapside!AA:AA,"POSITIVE"),"")</f>
        <v/>
      </c>
      <c r="I8" s="2" t="str">
        <f>IF(A8&lt;&gt;"",COUNTIFS(Trapside!F:F,"F",Trapside!G:G,"A",Trapside!AA:AA,"NEGATIVE"),"")</f>
        <v/>
      </c>
      <c r="J8" s="28" t="str">
        <f>IF(A8&lt;&gt;"",COUNTIFS(Trapside!F:F,"F",Trapside!G:G,"Y",Trapside!AA:AA,"POSITIVE"),"")</f>
        <v/>
      </c>
      <c r="K8" s="2" t="str">
        <f>IF(A8&lt;&gt;"",COUNTIFS(Trapside!F:F,"F",Trapside!G:G,"Y",Trapside!AA:AA,"NEGATIVE"),"")</f>
        <v/>
      </c>
      <c r="L8" s="28" t="str">
        <f>IF(A8&lt;&gt;"",COUNTIFS(Trapside!F:F,"F",Trapside!G:G,"C",Trapside!AA:AA,"POSITIVE"),"")</f>
        <v/>
      </c>
      <c r="M8" s="3" t="str">
        <f>IF(A8&lt;&gt;"",COUNTIFS(Trapside!F:F,"F",Trapside!G:G,"C",Trapside!AA:AA,"NEGATIVE"),"")</f>
        <v/>
      </c>
      <c r="N8" s="26"/>
    </row>
    <row r="9" spans="1:14">
      <c r="A9" s="164"/>
      <c r="B9" s="28" t="str">
        <f>IF(A9&lt;&gt;"",COUNTIFS(Trapside!F:F,"M",Trapside!G:G,"A",Trapside!AA:AA,"POSITIVE"),"")</f>
        <v/>
      </c>
      <c r="C9" s="2" t="str">
        <f>IF(A9&lt;&gt;"",COUNTIFS(Trapside!F:F,"M",Trapside!G:G,"A",Trapside!AA:AA,"NEGATIVE"),"")</f>
        <v/>
      </c>
      <c r="D9" s="28" t="str">
        <f>IF(A9&lt;&gt;"",COUNTIFS(Trapside!F:F,"M",Trapside!G:G,"Y",Trapside!AA:AA,"POSITIVE"),"")</f>
        <v/>
      </c>
      <c r="E9" s="2" t="str">
        <f>IF(A9&lt;&gt;"",COUNTIFS(Trapside!F:F,"M",Trapside!G:G,"Y",Trapside!AA:AA,"NEGATIVE"),"")</f>
        <v/>
      </c>
      <c r="F9" s="28" t="str">
        <f>IF(A9&lt;&gt;"",COUNTIFS(Trapside!F:F,"M",Trapside!G:G,"C",Trapside!AA:AA,"POSITIVE"),"")</f>
        <v/>
      </c>
      <c r="G9" s="2" t="str">
        <f>IF(A9&lt;&gt;"",COUNTIFS(Trapside!F:F,"M",Trapside!G:G,"C",Trapside!AA:AA,"NEGATIVE"),"")</f>
        <v/>
      </c>
      <c r="H9" s="28" t="str">
        <f>IF(A9&lt;&gt;"",COUNTIFS(Trapside!F:F,"F",Trapside!G:G,"A",Trapside!AA:AA,"POSITIVE"),"")</f>
        <v/>
      </c>
      <c r="I9" s="2" t="str">
        <f>IF(A9&lt;&gt;"",COUNTIFS(Trapside!F:F,"F",Trapside!G:G,"A",Trapside!AA:AA,"NEGATIVE"),"")</f>
        <v/>
      </c>
      <c r="J9" s="28" t="str">
        <f>IF(A9&lt;&gt;"",COUNTIFS(Trapside!F:F,"F",Trapside!G:G,"Y",Trapside!AA:AA,"POSITIVE"),"")</f>
        <v/>
      </c>
      <c r="K9" s="2" t="str">
        <f>IF(A9&lt;&gt;"",COUNTIFS(Trapside!F:F,"F",Trapside!G:G,"Y",Trapside!AA:AA,"NEGATIVE"),"")</f>
        <v/>
      </c>
      <c r="L9" s="28" t="str">
        <f>IF(A9&lt;&gt;"",COUNTIFS(Trapside!F:F,"F",Trapside!G:G,"C",Trapside!AA:AA,"POSITIVE"),"")</f>
        <v/>
      </c>
      <c r="M9" s="3" t="str">
        <f>IF(A9&lt;&gt;"",COUNTIFS(Trapside!F:F,"F",Trapside!G:G,"C",Trapside!AA:AA,"NEGATIVE"),"")</f>
        <v/>
      </c>
      <c r="N9" s="26"/>
    </row>
    <row r="10" spans="1:14">
      <c r="A10" s="164"/>
      <c r="B10" s="28" t="str">
        <f>IF(A10&lt;&gt;"",COUNTIFS(Trapside!F:F,"M",Trapside!G:G,"A",Trapside!AA:AA,"POSITIVE"),"")</f>
        <v/>
      </c>
      <c r="C10" s="2" t="str">
        <f>IF(A10&lt;&gt;"",COUNTIFS(Trapside!F:F,"M",Trapside!G:G,"A",Trapside!AA:AA,"NEGATIVE"),"")</f>
        <v/>
      </c>
      <c r="D10" s="28" t="str">
        <f>IF(A10&lt;&gt;"",COUNTIFS(Trapside!F:F,"M",Trapside!G:G,"Y",Trapside!AA:AA,"POSITIVE"),"")</f>
        <v/>
      </c>
      <c r="E10" s="2" t="str">
        <f>IF(A10&lt;&gt;"",COUNTIFS(Trapside!F:F,"M",Trapside!G:G,"Y",Trapside!AA:AA,"NEGATIVE"),"")</f>
        <v/>
      </c>
      <c r="F10" s="28" t="str">
        <f>IF(A10&lt;&gt;"",COUNTIFS(Trapside!F:F,"M",Trapside!G:G,"C",Trapside!AA:AA,"POSITIVE"),"")</f>
        <v/>
      </c>
      <c r="G10" s="2" t="str">
        <f>IF(A10&lt;&gt;"",COUNTIFS(Trapside!F:F,"M",Trapside!G:G,"C",Trapside!AA:AA,"NEGATIVE"),"")</f>
        <v/>
      </c>
      <c r="H10" s="28" t="str">
        <f>IF(A10&lt;&gt;"",COUNTIFS(Trapside!F:F,"F",Trapside!G:G,"A",Trapside!AA:AA,"POSITIVE"),"")</f>
        <v/>
      </c>
      <c r="I10" s="2" t="str">
        <f>IF(A10&lt;&gt;"",COUNTIFS(Trapside!F:F,"F",Trapside!G:G,"A",Trapside!AA:AA,"NEGATIVE"),"")</f>
        <v/>
      </c>
      <c r="J10" s="28" t="str">
        <f>IF(A10&lt;&gt;"",COUNTIFS(Trapside!F:F,"F",Trapside!G:G,"Y",Trapside!AA:AA,"POSITIVE"),"")</f>
        <v/>
      </c>
      <c r="K10" s="2" t="str">
        <f>IF(A10&lt;&gt;"",COUNTIFS(Trapside!F:F,"F",Trapside!G:G,"Y",Trapside!AA:AA,"NEGATIVE"),"")</f>
        <v/>
      </c>
      <c r="L10" s="28" t="str">
        <f>IF(A10&lt;&gt;"",COUNTIFS(Trapside!F:F,"F",Trapside!G:G,"C",Trapside!AA:AA,"POSITIVE"),"")</f>
        <v/>
      </c>
      <c r="M10" s="3" t="str">
        <f>IF(A10&lt;&gt;"",COUNTIFS(Trapside!F:F,"F",Trapside!G:G,"C",Trapside!AA:AA,"NEGATIVE"),"")</f>
        <v/>
      </c>
      <c r="N10" s="26"/>
    </row>
    <row r="11" spans="1:14">
      <c r="A11" s="164"/>
      <c r="B11" s="28" t="str">
        <f>IF(A11&lt;&gt;"",COUNTIFS(Trapside!F:F,"M",Trapside!G:G,"A",Trapside!AA:AA,"POSITIVE"),"")</f>
        <v/>
      </c>
      <c r="C11" s="2" t="str">
        <f>IF(A11&lt;&gt;"",COUNTIFS(Trapside!F:F,"M",Trapside!G:G,"A",Trapside!AA:AA,"NEGATIVE"),"")</f>
        <v/>
      </c>
      <c r="D11" s="28" t="str">
        <f>IF(A11&lt;&gt;"",COUNTIFS(Trapside!F:F,"M",Trapside!G:G,"Y",Trapside!AA:AA,"POSITIVE"),"")</f>
        <v/>
      </c>
      <c r="E11" s="2" t="str">
        <f>IF(A11&lt;&gt;"",COUNTIFS(Trapside!F:F,"M",Trapside!G:G,"Y",Trapside!AA:AA,"NEGATIVE"),"")</f>
        <v/>
      </c>
      <c r="F11" s="28" t="str">
        <f>IF(A11&lt;&gt;"",COUNTIFS(Trapside!F:F,"M",Trapside!G:G,"C",Trapside!AA:AA,"POSITIVE"),"")</f>
        <v/>
      </c>
      <c r="G11" s="2" t="str">
        <f>IF(A11&lt;&gt;"",COUNTIFS(Trapside!F:F,"M",Trapside!G:G,"C",Trapside!AA:AA,"NEGATIVE"),"")</f>
        <v/>
      </c>
      <c r="H11" s="28" t="str">
        <f>IF(A11&lt;&gt;"",COUNTIFS(Trapside!F:F,"F",Trapside!G:G,"A",Trapside!AA:AA,"POSITIVE"),"")</f>
        <v/>
      </c>
      <c r="I11" s="2" t="str">
        <f>IF(A11&lt;&gt;"",COUNTIFS(Trapside!F:F,"F",Trapside!G:G,"A",Trapside!AA:AA,"NEGATIVE"),"")</f>
        <v/>
      </c>
      <c r="J11" s="28" t="str">
        <f>IF(A11&lt;&gt;"",COUNTIFS(Trapside!F:F,"F",Trapside!G:G,"Y",Trapside!AA:AA,"POSITIVE"),"")</f>
        <v/>
      </c>
      <c r="K11" s="2" t="str">
        <f>IF(A11&lt;&gt;"",COUNTIFS(Trapside!F:F,"F",Trapside!G:G,"Y",Trapside!AA:AA,"NEGATIVE"),"")</f>
        <v/>
      </c>
      <c r="L11" s="28" t="str">
        <f>IF(A11&lt;&gt;"",COUNTIFS(Trapside!F:F,"F",Trapside!G:G,"C",Trapside!AA:AA,"POSITIVE"),"")</f>
        <v/>
      </c>
      <c r="M11" s="3" t="str">
        <f>IF(A11&lt;&gt;"",COUNTIFS(Trapside!F:F,"F",Trapside!G:G,"C",Trapside!AA:AA,"NEGATIVE"),"")</f>
        <v/>
      </c>
      <c r="N11" s="26"/>
    </row>
    <row r="12" spans="1:14">
      <c r="A12" s="164"/>
      <c r="B12" s="28" t="str">
        <f>IF(A12&lt;&gt;"",COUNTIFS(Trapside!F:F,"M",Trapside!G:G,"A",Trapside!AA:AA,"POSITIVE"),"")</f>
        <v/>
      </c>
      <c r="C12" s="2" t="str">
        <f>IF(A12&lt;&gt;"",COUNTIFS(Trapside!F:F,"M",Trapside!G:G,"A",Trapside!AA:AA,"NEGATIVE"),"")</f>
        <v/>
      </c>
      <c r="D12" s="28" t="str">
        <f>IF(A12&lt;&gt;"",COUNTIFS(Trapside!F:F,"M",Trapside!G:G,"Y",Trapside!AA:AA,"POSITIVE"),"")</f>
        <v/>
      </c>
      <c r="E12" s="2" t="str">
        <f>IF(A12&lt;&gt;"",COUNTIFS(Trapside!F:F,"M",Trapside!G:G,"Y",Trapside!AA:AA,"NEGATIVE"),"")</f>
        <v/>
      </c>
      <c r="F12" s="28" t="str">
        <f>IF(A12&lt;&gt;"",COUNTIFS(Trapside!F:F,"M",Trapside!G:G,"C",Trapside!AA:AA,"POSITIVE"),"")</f>
        <v/>
      </c>
      <c r="G12" s="2" t="str">
        <f>IF(A12&lt;&gt;"",COUNTIFS(Trapside!F:F,"M",Trapside!G:G,"C",Trapside!AA:AA,"NEGATIVE"),"")</f>
        <v/>
      </c>
      <c r="H12" s="28" t="str">
        <f>IF(A12&lt;&gt;"",COUNTIFS(Trapside!F:F,"F",Trapside!G:G,"A",Trapside!AA:AA,"POSITIVE"),"")</f>
        <v/>
      </c>
      <c r="I12" s="2" t="str">
        <f>IF(A12&lt;&gt;"",COUNTIFS(Trapside!F:F,"F",Trapside!G:G,"A",Trapside!AA:AA,"NEGATIVE"),"")</f>
        <v/>
      </c>
      <c r="J12" s="28" t="str">
        <f>IF(A12&lt;&gt;"",COUNTIFS(Trapside!F:F,"F",Trapside!G:G,"Y",Trapside!AA:AA,"POSITIVE"),"")</f>
        <v/>
      </c>
      <c r="K12" s="2" t="str">
        <f>IF(A12&lt;&gt;"",COUNTIFS(Trapside!F:F,"F",Trapside!G:G,"Y",Trapside!AA:AA,"NEGATIVE"),"")</f>
        <v/>
      </c>
      <c r="L12" s="28" t="str">
        <f>IF(A12&lt;&gt;"",COUNTIFS(Trapside!F:F,"F",Trapside!G:G,"C",Trapside!AA:AA,"POSITIVE"),"")</f>
        <v/>
      </c>
      <c r="M12" s="3" t="str">
        <f>IF(A12&lt;&gt;"",COUNTIFS(Trapside!F:F,"F",Trapside!G:G,"C",Trapside!AA:AA,"NEGATIVE"),"")</f>
        <v/>
      </c>
      <c r="N12" s="26"/>
    </row>
    <row r="13" spans="1:14">
      <c r="A13" s="164"/>
      <c r="B13" s="28" t="str">
        <f>IF(A13&lt;&gt;"",COUNTIFS(Trapside!F:F,"M",Trapside!G:G,"A",Trapside!AA:AA,"POSITIVE"),"")</f>
        <v/>
      </c>
      <c r="C13" s="2" t="str">
        <f>IF(A13&lt;&gt;"",COUNTIFS(Trapside!F:F,"M",Trapside!G:G,"A",Trapside!AA:AA,"NEGATIVE"),"")</f>
        <v/>
      </c>
      <c r="D13" s="28" t="str">
        <f>IF(A13&lt;&gt;"",COUNTIFS(Trapside!F:F,"M",Trapside!G:G,"Y",Trapside!AA:AA,"POSITIVE"),"")</f>
        <v/>
      </c>
      <c r="E13" s="2" t="str">
        <f>IF(A13&lt;&gt;"",COUNTIFS(Trapside!F:F,"M",Trapside!G:G,"Y",Trapside!AA:AA,"NEGATIVE"),"")</f>
        <v/>
      </c>
      <c r="F13" s="28" t="str">
        <f>IF(A13&lt;&gt;"",COUNTIFS(Trapside!F:F,"M",Trapside!G:G,"C",Trapside!AA:AA,"POSITIVE"),"")</f>
        <v/>
      </c>
      <c r="G13" s="2" t="str">
        <f>IF(A13&lt;&gt;"",COUNTIFS(Trapside!F:F,"M",Trapside!G:G,"C",Trapside!AA:AA,"NEGATIVE"),"")</f>
        <v/>
      </c>
      <c r="H13" s="28" t="str">
        <f>IF(A13&lt;&gt;"",COUNTIFS(Trapside!F:F,"F",Trapside!G:G,"A",Trapside!AA:AA,"POSITIVE"),"")</f>
        <v/>
      </c>
      <c r="I13" s="2" t="str">
        <f>IF(A13&lt;&gt;"",COUNTIFS(Trapside!F:F,"F",Trapside!G:G,"A",Trapside!AA:AA,"NEGATIVE"),"")</f>
        <v/>
      </c>
      <c r="J13" s="28" t="str">
        <f>IF(A13&lt;&gt;"",COUNTIFS(Trapside!F:F,"F",Trapside!G:G,"Y",Trapside!AA:AA,"POSITIVE"),"")</f>
        <v/>
      </c>
      <c r="K13" s="2" t="str">
        <f>IF(A13&lt;&gt;"",COUNTIFS(Trapside!F:F,"F",Trapside!G:G,"Y",Trapside!AA:AA,"NEGATIVE"),"")</f>
        <v/>
      </c>
      <c r="L13" s="28" t="str">
        <f>IF(A13&lt;&gt;"",COUNTIFS(Trapside!F:F,"F",Trapside!G:G,"C",Trapside!AA:AA,"POSITIVE"),"")</f>
        <v/>
      </c>
      <c r="M13" s="3" t="str">
        <f>IF(A13&lt;&gt;"",COUNTIFS(Trapside!F:F,"F",Trapside!G:G,"C",Trapside!AA:AA,"NEGATIVE"),"")</f>
        <v/>
      </c>
      <c r="N13" s="26"/>
    </row>
    <row r="14" spans="1:14">
      <c r="A14" s="164"/>
      <c r="B14" s="28" t="str">
        <f>IF(A14&lt;&gt;"",COUNTIFS(Trapside!F:F,"M",Trapside!G:G,"A",Trapside!AA:AA,"POSITIVE"),"")</f>
        <v/>
      </c>
      <c r="C14" s="2" t="str">
        <f>IF(A14&lt;&gt;"",COUNTIFS(Trapside!F:F,"M",Trapside!G:G,"A",Trapside!AA:AA,"NEGATIVE"),"")</f>
        <v/>
      </c>
      <c r="D14" s="28" t="str">
        <f>IF(A14&lt;&gt;"",COUNTIFS(Trapside!F:F,"M",Trapside!G:G,"Y",Trapside!AA:AA,"POSITIVE"),"")</f>
        <v/>
      </c>
      <c r="E14" s="2" t="str">
        <f>IF(A14&lt;&gt;"",COUNTIFS(Trapside!F:F,"M",Trapside!G:G,"Y",Trapside!AA:AA,"NEGATIVE"),"")</f>
        <v/>
      </c>
      <c r="F14" s="28" t="str">
        <f>IF(A14&lt;&gt;"",COUNTIFS(Trapside!F:F,"M",Trapside!G:G,"C",Trapside!AA:AA,"POSITIVE"),"")</f>
        <v/>
      </c>
      <c r="G14" s="2" t="str">
        <f>IF(A14&lt;&gt;"",COUNTIFS(Trapside!F:F,"M",Trapside!G:G,"C",Trapside!AA:AA,"NEGATIVE"),"")</f>
        <v/>
      </c>
      <c r="H14" s="28" t="str">
        <f>IF(A14&lt;&gt;"",COUNTIFS(Trapside!F:F,"F",Trapside!G:G,"A",Trapside!AA:AA,"POSITIVE"),"")</f>
        <v/>
      </c>
      <c r="I14" s="2" t="str">
        <f>IF(A14&lt;&gt;"",COUNTIFS(Trapside!F:F,"F",Trapside!G:G,"A",Trapside!AA:AA,"NEGATIVE"),"")</f>
        <v/>
      </c>
      <c r="J14" s="28" t="str">
        <f>IF(A14&lt;&gt;"",COUNTIFS(Trapside!F:F,"F",Trapside!G:G,"Y",Trapside!AA:AA,"POSITIVE"),"")</f>
        <v/>
      </c>
      <c r="K14" s="2" t="str">
        <f>IF(A14&lt;&gt;"",COUNTIFS(Trapside!F:F,"F",Trapside!G:G,"Y",Trapside!AA:AA,"NEGATIVE"),"")</f>
        <v/>
      </c>
      <c r="L14" s="28" t="str">
        <f>IF(A14&lt;&gt;"",COUNTIFS(Trapside!F:F,"F",Trapside!G:G,"C",Trapside!AA:AA,"POSITIVE"),"")</f>
        <v/>
      </c>
      <c r="M14" s="3" t="str">
        <f>IF(A14&lt;&gt;"",COUNTIFS(Trapside!F:F,"F",Trapside!G:G,"C",Trapside!AA:AA,"NEGATIVE"),"")</f>
        <v/>
      </c>
      <c r="N14" s="26"/>
    </row>
    <row r="15" spans="1:14">
      <c r="A15" s="164"/>
      <c r="B15" s="28" t="str">
        <f>IF(A15&lt;&gt;"",COUNTIFS(Trapside!F:F,"M",Trapside!G:G,"A",Trapside!AA:AA,"POSITIVE"),"")</f>
        <v/>
      </c>
      <c r="C15" s="2" t="str">
        <f>IF(A15&lt;&gt;"",COUNTIFS(Trapside!F:F,"M",Trapside!G:G,"A",Trapside!AA:AA,"NEGATIVE"),"")</f>
        <v/>
      </c>
      <c r="D15" s="28" t="str">
        <f>IF(A15&lt;&gt;"",COUNTIFS(Trapside!F:F,"M",Trapside!G:G,"Y",Trapside!AA:AA,"POSITIVE"),"")</f>
        <v/>
      </c>
      <c r="E15" s="2" t="str">
        <f>IF(A15&lt;&gt;"",COUNTIFS(Trapside!F:F,"M",Trapside!G:G,"Y",Trapside!AA:AA,"NEGATIVE"),"")</f>
        <v/>
      </c>
      <c r="F15" s="28" t="str">
        <f>IF(A15&lt;&gt;"",COUNTIFS(Trapside!F:F,"M",Trapside!G:G,"C",Trapside!AA:AA,"POSITIVE"),"")</f>
        <v/>
      </c>
      <c r="G15" s="2" t="str">
        <f>IF(A15&lt;&gt;"",COUNTIFS(Trapside!F:F,"M",Trapside!G:G,"C",Trapside!AA:AA,"NEGATIVE"),"")</f>
        <v/>
      </c>
      <c r="H15" s="28" t="str">
        <f>IF(A15&lt;&gt;"",COUNTIFS(Trapside!F:F,"F",Trapside!G:G,"A",Trapside!AA:AA,"POSITIVE"),"")</f>
        <v/>
      </c>
      <c r="I15" s="2" t="str">
        <f>IF(A15&lt;&gt;"",COUNTIFS(Trapside!F:F,"F",Trapside!G:G,"A",Trapside!AA:AA,"NEGATIVE"),"")</f>
        <v/>
      </c>
      <c r="J15" s="28" t="str">
        <f>IF(A15&lt;&gt;"",COUNTIFS(Trapside!F:F,"F",Trapside!G:G,"Y",Trapside!AA:AA,"POSITIVE"),"")</f>
        <v/>
      </c>
      <c r="K15" s="2" t="str">
        <f>IF(A15&lt;&gt;"",COUNTIFS(Trapside!F:F,"F",Trapside!G:G,"Y",Trapside!AA:AA,"NEGATIVE"),"")</f>
        <v/>
      </c>
      <c r="L15" s="28" t="str">
        <f>IF(A15&lt;&gt;"",COUNTIFS(Trapside!F:F,"F",Trapside!G:G,"C",Trapside!AA:AA,"POSITIVE"),"")</f>
        <v/>
      </c>
      <c r="M15" s="3" t="str">
        <f>IF(A15&lt;&gt;"",COUNTIFS(Trapside!F:F,"F",Trapside!G:G,"C",Trapside!AA:AA,"NEGATIVE"),"")</f>
        <v/>
      </c>
      <c r="N15" s="26"/>
    </row>
    <row r="16" spans="1:14">
      <c r="A16" s="164"/>
      <c r="B16" s="28" t="str">
        <f>IF(A16&lt;&gt;"",COUNTIFS(Trapside!F:F,"M",Trapside!G:G,"A",Trapside!AA:AA,"POSITIVE"),"")</f>
        <v/>
      </c>
      <c r="C16" s="2" t="str">
        <f>IF(A16&lt;&gt;"",COUNTIFS(Trapside!F:F,"M",Trapside!G:G,"A",Trapside!AA:AA,"NEGATIVE"),"")</f>
        <v/>
      </c>
      <c r="D16" s="28" t="str">
        <f>IF(A16&lt;&gt;"",COUNTIFS(Trapside!F:F,"M",Trapside!G:G,"Y",Trapside!AA:AA,"POSITIVE"),"")</f>
        <v/>
      </c>
      <c r="E16" s="2" t="str">
        <f>IF(A16&lt;&gt;"",COUNTIFS(Trapside!F:F,"M",Trapside!G:G,"Y",Trapside!AA:AA,"NEGATIVE"),"")</f>
        <v/>
      </c>
      <c r="F16" s="28" t="str">
        <f>IF(A16&lt;&gt;"",COUNTIFS(Trapside!F:F,"M",Trapside!G:G,"C",Trapside!AA:AA,"POSITIVE"),"")</f>
        <v/>
      </c>
      <c r="G16" s="2" t="str">
        <f>IF(A16&lt;&gt;"",COUNTIFS(Trapside!F:F,"M",Trapside!G:G,"C",Trapside!AA:AA,"NEGATIVE"),"")</f>
        <v/>
      </c>
      <c r="H16" s="28" t="str">
        <f>IF(A16&lt;&gt;"",COUNTIFS(Trapside!F:F,"F",Trapside!G:G,"A",Trapside!AA:AA,"POSITIVE"),"")</f>
        <v/>
      </c>
      <c r="I16" s="2" t="str">
        <f>IF(A16&lt;&gt;"",COUNTIFS(Trapside!F:F,"F",Trapside!G:G,"A",Trapside!AA:AA,"NEGATIVE"),"")</f>
        <v/>
      </c>
      <c r="J16" s="28" t="str">
        <f>IF(A16&lt;&gt;"",COUNTIFS(Trapside!F:F,"F",Trapside!G:G,"Y",Trapside!AA:AA,"POSITIVE"),"")</f>
        <v/>
      </c>
      <c r="K16" s="2" t="str">
        <f>IF(A16&lt;&gt;"",COUNTIFS(Trapside!F:F,"F",Trapside!G:G,"Y",Trapside!AA:AA,"NEGATIVE"),"")</f>
        <v/>
      </c>
      <c r="L16" s="28" t="str">
        <f>IF(A16&lt;&gt;"",COUNTIFS(Trapside!F:F,"F",Trapside!G:G,"C",Trapside!AA:AA,"POSITIVE"),"")</f>
        <v/>
      </c>
      <c r="M16" s="3" t="str">
        <f>IF(A16&lt;&gt;"",COUNTIFS(Trapside!F:F,"F",Trapside!G:G,"C",Trapside!AA:AA,"NEGATIVE"),"")</f>
        <v/>
      </c>
      <c r="N16" s="26"/>
    </row>
    <row r="17" spans="1:14">
      <c r="A17" s="29"/>
      <c r="B17" s="28" t="str">
        <f>IF(A17&lt;&gt;"",COUNTIFS(Trapside!F:F,"M",Trapside!G:G,"A",Trapside!AA:AA,"POSITIVE"),"")</f>
        <v/>
      </c>
      <c r="C17" s="2" t="str">
        <f>IF(A17&lt;&gt;"",COUNTIFS(Trapside!F:F,"M",Trapside!G:G,"A",Trapside!AA:AA,"NEGATIVE"),"")</f>
        <v/>
      </c>
      <c r="D17" s="28" t="str">
        <f>IF(A17&lt;&gt;"",COUNTIFS(Trapside!F:F,"M",Trapside!G:G,"Y",Trapside!AA:AA,"POSITIVE"),"")</f>
        <v/>
      </c>
      <c r="E17" s="2" t="str">
        <f>IF(A17&lt;&gt;"",COUNTIFS(Trapside!F:F,"M",Trapside!G:G,"Y",Trapside!AA:AA,"NEGATIVE"),"")</f>
        <v/>
      </c>
      <c r="F17" s="28" t="str">
        <f>IF(A17&lt;&gt;"",COUNTIFS(Trapside!F:F,"M",Trapside!G:G,"C",Trapside!AA:AA,"POSITIVE"),"")</f>
        <v/>
      </c>
      <c r="G17" s="2" t="str">
        <f>IF(A17&lt;&gt;"",COUNTIFS(Trapside!F:F,"M",Trapside!G:G,"C",Trapside!AA:AA,"NEGATIVE"),"")</f>
        <v/>
      </c>
      <c r="H17" s="28" t="str">
        <f>IF(A17&lt;&gt;"",COUNTIFS(Trapside!F:F,"F",Trapside!G:G,"A",Trapside!AA:AA,"POSITIVE"),"")</f>
        <v/>
      </c>
      <c r="I17" s="2" t="str">
        <f>IF(A17&lt;&gt;"",COUNTIFS(Trapside!F:F,"F",Trapside!G:G,"A",Trapside!AA:AA,"NEGATIVE"),"")</f>
        <v/>
      </c>
      <c r="J17" s="28" t="str">
        <f>IF(A17&lt;&gt;"",COUNTIFS(Trapside!F:F,"F",Trapside!G:G,"Y",Trapside!AA:AA,"POSITIVE"),"")</f>
        <v/>
      </c>
      <c r="K17" s="2" t="str">
        <f>IF(A17&lt;&gt;"",COUNTIFS(Trapside!F:F,"F",Trapside!G:G,"Y",Trapside!AA:AA,"NEGATIVE"),"")</f>
        <v/>
      </c>
      <c r="L17" s="28" t="str">
        <f>IF(A17&lt;&gt;"",COUNTIFS(Trapside!F:F,"F",Trapside!G:G,"C",Trapside!AA:AA,"POSITIVE"),"")</f>
        <v/>
      </c>
      <c r="M17" s="3" t="str">
        <f>IF(A17&lt;&gt;"",COUNTIFS(Trapside!F:F,"F",Trapside!G:G,"C",Trapside!AA:AA,"NEGATIVE"),"")</f>
        <v/>
      </c>
      <c r="N17" s="26"/>
    </row>
    <row r="18" spans="1:14" ht="15" thickBot="1">
      <c r="A18" s="30" t="s">
        <v>45</v>
      </c>
      <c r="B18" s="31">
        <f t="shared" ref="B18:M18" si="0">SUM(B4:B17)</f>
        <v>0</v>
      </c>
      <c r="C18" s="32">
        <f t="shared" si="0"/>
        <v>0</v>
      </c>
      <c r="D18" s="31">
        <f t="shared" si="0"/>
        <v>2</v>
      </c>
      <c r="E18" s="32">
        <f t="shared" si="0"/>
        <v>3</v>
      </c>
      <c r="F18" s="31">
        <f t="shared" si="0"/>
        <v>0</v>
      </c>
      <c r="G18" s="32">
        <f t="shared" si="0"/>
        <v>0</v>
      </c>
      <c r="H18" s="31">
        <f t="shared" si="0"/>
        <v>0</v>
      </c>
      <c r="I18" s="32">
        <f t="shared" si="0"/>
        <v>0</v>
      </c>
      <c r="J18" s="31">
        <f t="shared" si="0"/>
        <v>0</v>
      </c>
      <c r="K18" s="32">
        <f t="shared" si="0"/>
        <v>1</v>
      </c>
      <c r="L18" s="31">
        <f t="shared" si="0"/>
        <v>1</v>
      </c>
      <c r="M18" s="33">
        <f t="shared" si="0"/>
        <v>2</v>
      </c>
      <c r="N18" s="26"/>
    </row>
    <row r="19" spans="1:14" ht="15" thickBot="1">
      <c r="A19" s="165" t="s">
        <v>45</v>
      </c>
      <c r="B19" s="278">
        <f>SUM(B3:G17)</f>
        <v>5</v>
      </c>
      <c r="C19" s="278"/>
      <c r="D19" s="278"/>
      <c r="E19" s="278"/>
      <c r="F19" s="278"/>
      <c r="G19" s="279"/>
      <c r="H19" s="280">
        <f>SUM(H3:M17)</f>
        <v>4</v>
      </c>
      <c r="I19" s="278"/>
      <c r="J19" s="278"/>
      <c r="K19" s="278"/>
      <c r="L19" s="278"/>
      <c r="M19" s="281"/>
      <c r="N19" s="26"/>
    </row>
  </sheetData>
  <mergeCells count="11">
    <mergeCell ref="B19:G19"/>
    <mergeCell ref="H19:M19"/>
    <mergeCell ref="A1:A3"/>
    <mergeCell ref="B1:G1"/>
    <mergeCell ref="H1:M1"/>
    <mergeCell ref="B2:C2"/>
    <mergeCell ref="D2:E2"/>
    <mergeCell ref="F2:G2"/>
    <mergeCell ref="H2:I2"/>
    <mergeCell ref="J2:K2"/>
    <mergeCell ref="L2:M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6AD35-C9E4-4F80-9475-63C3340A523D}">
  <dimension ref="A1:AB40"/>
  <sheetViews>
    <sheetView workbookViewId="0">
      <selection activeCell="AB40" sqref="AB40"/>
    </sheetView>
  </sheetViews>
  <sheetFormatPr defaultRowHeight="14.45"/>
  <cols>
    <col min="1" max="1" width="20.85546875" bestFit="1" customWidth="1"/>
    <col min="2" max="2" width="11.140625" style="133" customWidth="1"/>
    <col min="3" max="3" width="9.140625" style="133" bestFit="1" customWidth="1"/>
    <col min="4" max="4" width="10.42578125" style="133" bestFit="1" customWidth="1"/>
    <col min="5" max="5" width="6.28515625" bestFit="1" customWidth="1"/>
    <col min="6" max="6" width="7.28515625" style="133" bestFit="1" customWidth="1"/>
    <col min="7" max="7" width="10.5703125" style="133" bestFit="1" customWidth="1"/>
    <col min="8" max="8" width="16" bestFit="1" customWidth="1"/>
    <col min="9" max="9" width="4.5703125" bestFit="1" customWidth="1"/>
    <col min="10" max="10" width="4.85546875" bestFit="1" customWidth="1"/>
    <col min="11" max="11" width="6.5703125" bestFit="1" customWidth="1"/>
    <col min="12" max="12" width="7.7109375" style="133" bestFit="1" customWidth="1"/>
    <col min="13" max="13" width="5.28515625" style="133" bestFit="1" customWidth="1"/>
    <col min="14" max="14" width="5.85546875" style="133" bestFit="1" customWidth="1"/>
    <col min="15" max="15" width="16.140625" bestFit="1" customWidth="1"/>
    <col min="16" max="16" width="12.28515625" style="133" bestFit="1" customWidth="1"/>
    <col min="17" max="17" width="10.42578125" bestFit="1" customWidth="1"/>
    <col min="18" max="18" width="9.28515625" bestFit="1" customWidth="1"/>
    <col min="19" max="19" width="10.42578125" bestFit="1" customWidth="1"/>
    <col min="20" max="20" width="9.28515625" style="133" bestFit="1" customWidth="1"/>
    <col min="21" max="23" width="12.7109375" bestFit="1" customWidth="1"/>
    <col min="24" max="26" width="9.85546875" bestFit="1" customWidth="1"/>
    <col min="27" max="27" width="13.140625" style="133" bestFit="1" customWidth="1"/>
    <col min="28" max="28" width="16.28515625" style="133" bestFit="1" customWidth="1"/>
  </cols>
  <sheetData>
    <row r="1" spans="1:28" ht="15" thickBot="1">
      <c r="A1" s="113" t="s">
        <v>117</v>
      </c>
      <c r="B1" s="114" t="s">
        <v>2</v>
      </c>
      <c r="C1" s="115" t="s">
        <v>118</v>
      </c>
      <c r="D1" s="115" t="s">
        <v>119</v>
      </c>
      <c r="E1" s="116" t="s">
        <v>120</v>
      </c>
      <c r="F1" s="115" t="s">
        <v>121</v>
      </c>
      <c r="G1" s="115" t="s">
        <v>122</v>
      </c>
      <c r="H1" s="115" t="s">
        <v>123</v>
      </c>
      <c r="I1" s="115" t="s">
        <v>124</v>
      </c>
      <c r="J1" s="115" t="s">
        <v>125</v>
      </c>
      <c r="K1" s="115" t="s">
        <v>126</v>
      </c>
      <c r="L1" s="115" t="s">
        <v>127</v>
      </c>
      <c r="M1" s="115" t="s">
        <v>128</v>
      </c>
      <c r="N1" s="115" t="s">
        <v>129</v>
      </c>
      <c r="O1" s="115" t="s">
        <v>77</v>
      </c>
      <c r="P1" s="114" t="s">
        <v>130</v>
      </c>
      <c r="Q1" s="114" t="s">
        <v>131</v>
      </c>
      <c r="R1" s="114" t="s">
        <v>132</v>
      </c>
      <c r="S1" s="114" t="s">
        <v>133</v>
      </c>
      <c r="T1" s="114" t="s">
        <v>134</v>
      </c>
      <c r="U1" s="114" t="s">
        <v>135</v>
      </c>
      <c r="V1" s="114" t="s">
        <v>136</v>
      </c>
      <c r="W1" s="114" t="s">
        <v>137</v>
      </c>
      <c r="X1" s="114" t="s">
        <v>138</v>
      </c>
      <c r="Y1" s="114" t="s">
        <v>139</v>
      </c>
      <c r="Z1" s="114" t="s">
        <v>140</v>
      </c>
      <c r="AA1" s="114" t="s">
        <v>141</v>
      </c>
      <c r="AB1" s="114" t="s">
        <v>142</v>
      </c>
    </row>
    <row r="2" spans="1:28">
      <c r="A2" t="s">
        <v>143</v>
      </c>
      <c r="B2" s="132">
        <v>44613</v>
      </c>
      <c r="C2" s="133" t="s">
        <v>144</v>
      </c>
      <c r="D2" s="133" t="s">
        <v>145</v>
      </c>
      <c r="E2" s="133" t="s">
        <v>146</v>
      </c>
      <c r="F2" s="133" t="s">
        <v>147</v>
      </c>
      <c r="G2" s="133" t="s">
        <v>10</v>
      </c>
      <c r="H2" s="133">
        <v>1</v>
      </c>
      <c r="I2" s="133">
        <v>2</v>
      </c>
      <c r="J2" s="133" t="s">
        <v>146</v>
      </c>
      <c r="K2" s="133" t="s">
        <v>146</v>
      </c>
      <c r="L2" s="133">
        <v>630</v>
      </c>
      <c r="M2" s="133" t="s">
        <v>146</v>
      </c>
      <c r="N2" s="133" t="s">
        <v>146</v>
      </c>
      <c r="P2" s="133" t="s">
        <v>148</v>
      </c>
      <c r="Q2">
        <f>AVERAGE(83.7,85.6,83.4)</f>
        <v>84.233333333333334</v>
      </c>
      <c r="R2" s="133"/>
      <c r="S2">
        <f>AVERAGE(83.7,85.6,83.4)</f>
        <v>84.233333333333334</v>
      </c>
      <c r="T2" s="133">
        <v>83.4</v>
      </c>
      <c r="V2">
        <f>T2-S2</f>
        <v>-0.8333333333333286</v>
      </c>
      <c r="W2">
        <f>AVERAGE(U2,V2)</f>
        <v>-0.8333333333333286</v>
      </c>
      <c r="X2" t="str">
        <f>IFERROR(IF(W2&lt;10,"NEGATIVE",IF(W2&gt;20,"POSITIVE","SUSPECT")),"")</f>
        <v>NEGATIVE</v>
      </c>
      <c r="Y2" t="s">
        <v>149</v>
      </c>
      <c r="Z2" t="s">
        <v>149</v>
      </c>
      <c r="AA2" s="133" t="str">
        <f>IF(X2="POSITIVE","POSITIVE",IF(Y2="POSITIVE","POSITIVE",IF(Z2="POSITIVE","POSITIVE","NEGATIVE")))</f>
        <v>NEGATIVE</v>
      </c>
      <c r="AB2" s="133" t="s">
        <v>150</v>
      </c>
    </row>
    <row r="3" spans="1:28">
      <c r="A3" t="s">
        <v>151</v>
      </c>
      <c r="B3" s="132">
        <v>44613</v>
      </c>
      <c r="C3" s="133" t="s">
        <v>152</v>
      </c>
      <c r="D3" s="133" t="s">
        <v>153</v>
      </c>
      <c r="E3" s="133" t="s">
        <v>146</v>
      </c>
      <c r="F3" s="133" t="s">
        <v>154</v>
      </c>
      <c r="G3" s="133" t="s">
        <v>10</v>
      </c>
      <c r="H3" s="133">
        <v>2</v>
      </c>
      <c r="I3" s="133">
        <v>2</v>
      </c>
      <c r="J3" s="133" t="s">
        <v>146</v>
      </c>
      <c r="K3" s="133" t="s">
        <v>146</v>
      </c>
      <c r="L3" s="133">
        <v>630</v>
      </c>
      <c r="M3" s="133" t="s">
        <v>146</v>
      </c>
      <c r="N3" s="133" t="s">
        <v>146</v>
      </c>
      <c r="P3" s="133" t="s">
        <v>148</v>
      </c>
      <c r="Q3">
        <f t="shared" ref="Q3:Q10" si="0">AVERAGE(83.7,85.6,83.4)</f>
        <v>84.233333333333334</v>
      </c>
      <c r="R3" s="133">
        <v>84.1</v>
      </c>
      <c r="S3">
        <f t="shared" ref="S3:S10" si="1">AVERAGE(83.7,85.6,83.4)</f>
        <v>84.233333333333334</v>
      </c>
      <c r="T3" s="133">
        <v>80.7</v>
      </c>
      <c r="U3">
        <f t="shared" ref="U3:U10" si="2">R3-Q3</f>
        <v>-0.13333333333333997</v>
      </c>
      <c r="V3">
        <f t="shared" ref="V3:V10" si="3">T3-S3</f>
        <v>-3.5333333333333314</v>
      </c>
      <c r="W3">
        <f t="shared" ref="W3:W10" si="4">AVERAGE(U3,V3)</f>
        <v>-1.8333333333333357</v>
      </c>
      <c r="X3" t="str">
        <f t="shared" ref="X3:X10" si="5">IFERROR(IF(W3&lt;10,"NEGATIVE",IF(W3&gt;20,"POSITIVE","SUSPECT")),"")</f>
        <v>NEGATIVE</v>
      </c>
      <c r="Y3" t="s">
        <v>149</v>
      </c>
      <c r="Z3" t="s">
        <v>149</v>
      </c>
      <c r="AA3" s="133" t="str">
        <f t="shared" ref="AA3:AA10" si="6">IF(X3="POSITIVE","POSITIVE",IF(Y3="POSITIVE","POSITIVE",IF(Z3="POSITIVE","POSITIVE","NEGATIVE")))</f>
        <v>NEGATIVE</v>
      </c>
      <c r="AB3" s="133" t="s">
        <v>150</v>
      </c>
    </row>
    <row r="4" spans="1:28">
      <c r="A4" t="s">
        <v>155</v>
      </c>
      <c r="B4" s="132">
        <v>44613</v>
      </c>
      <c r="C4" s="133" t="s">
        <v>156</v>
      </c>
      <c r="D4" s="133" t="s">
        <v>157</v>
      </c>
      <c r="E4" s="133" t="s">
        <v>146</v>
      </c>
      <c r="F4" s="133" t="s">
        <v>147</v>
      </c>
      <c r="G4" s="133" t="s">
        <v>10</v>
      </c>
      <c r="H4" s="133">
        <v>3</v>
      </c>
      <c r="I4" s="133">
        <v>2</v>
      </c>
      <c r="J4" s="133" t="s">
        <v>146</v>
      </c>
      <c r="K4" s="133" t="s">
        <v>146</v>
      </c>
      <c r="L4" s="133">
        <v>730</v>
      </c>
      <c r="M4" s="133" t="s">
        <v>146</v>
      </c>
      <c r="N4" s="133" t="s">
        <v>146</v>
      </c>
      <c r="P4" s="133" t="s">
        <v>148</v>
      </c>
      <c r="Q4">
        <f t="shared" si="0"/>
        <v>84.233333333333334</v>
      </c>
      <c r="R4" s="133">
        <v>80.2</v>
      </c>
      <c r="S4">
        <f t="shared" si="1"/>
        <v>84.233333333333334</v>
      </c>
      <c r="T4" s="133">
        <v>82.6</v>
      </c>
      <c r="U4">
        <f t="shared" si="2"/>
        <v>-4.0333333333333314</v>
      </c>
      <c r="V4">
        <f t="shared" si="3"/>
        <v>-1.63333333333334</v>
      </c>
      <c r="W4">
        <f t="shared" si="4"/>
        <v>-2.8333333333333357</v>
      </c>
      <c r="X4" t="str">
        <f t="shared" si="5"/>
        <v>NEGATIVE</v>
      </c>
      <c r="Y4" t="s">
        <v>149</v>
      </c>
      <c r="Z4" t="s">
        <v>149</v>
      </c>
      <c r="AA4" s="133" t="str">
        <f t="shared" si="6"/>
        <v>NEGATIVE</v>
      </c>
      <c r="AB4" s="133" t="s">
        <v>150</v>
      </c>
    </row>
    <row r="5" spans="1:28">
      <c r="A5" t="s">
        <v>158</v>
      </c>
      <c r="B5" s="132">
        <v>44613</v>
      </c>
      <c r="C5" s="133" t="s">
        <v>159</v>
      </c>
      <c r="D5" s="133" t="s">
        <v>160</v>
      </c>
      <c r="E5" s="133" t="s">
        <v>146</v>
      </c>
      <c r="F5" s="133" t="s">
        <v>147</v>
      </c>
      <c r="G5" s="133" t="s">
        <v>10</v>
      </c>
      <c r="H5" s="133">
        <v>4</v>
      </c>
      <c r="I5" s="133">
        <v>2</v>
      </c>
      <c r="J5" s="133" t="s">
        <v>146</v>
      </c>
      <c r="K5" s="133" t="s">
        <v>146</v>
      </c>
      <c r="L5" s="133">
        <v>640</v>
      </c>
      <c r="M5" s="133" t="s">
        <v>146</v>
      </c>
      <c r="N5" s="133" t="s">
        <v>146</v>
      </c>
      <c r="P5" s="133" t="s">
        <v>161</v>
      </c>
      <c r="Q5">
        <f t="shared" si="0"/>
        <v>84.233333333333334</v>
      </c>
      <c r="R5" s="133">
        <v>228.2</v>
      </c>
      <c r="S5">
        <f t="shared" si="1"/>
        <v>84.233333333333334</v>
      </c>
      <c r="T5" s="133">
        <v>233.2</v>
      </c>
      <c r="U5">
        <f t="shared" si="2"/>
        <v>143.96666666666664</v>
      </c>
      <c r="V5">
        <f t="shared" si="3"/>
        <v>148.96666666666664</v>
      </c>
      <c r="W5">
        <f t="shared" si="4"/>
        <v>146.46666666666664</v>
      </c>
      <c r="X5" t="str">
        <f t="shared" si="5"/>
        <v>POSITIVE</v>
      </c>
      <c r="Y5" t="s">
        <v>162</v>
      </c>
      <c r="Z5" t="s">
        <v>162</v>
      </c>
      <c r="AA5" s="133" t="str">
        <f t="shared" si="6"/>
        <v>POSITIVE</v>
      </c>
      <c r="AB5" s="133" t="s">
        <v>163</v>
      </c>
    </row>
    <row r="6" spans="1:28">
      <c r="A6" t="s">
        <v>164</v>
      </c>
      <c r="B6" s="132">
        <v>44613</v>
      </c>
      <c r="C6" s="133" t="s">
        <v>165</v>
      </c>
      <c r="D6" s="133" t="s">
        <v>166</v>
      </c>
      <c r="E6" s="133" t="s">
        <v>146</v>
      </c>
      <c r="F6" s="133" t="s">
        <v>147</v>
      </c>
      <c r="G6" s="133" t="s">
        <v>10</v>
      </c>
      <c r="H6" s="133">
        <v>5</v>
      </c>
      <c r="I6" s="133">
        <v>2</v>
      </c>
      <c r="J6" s="133" t="s">
        <v>146</v>
      </c>
      <c r="K6" s="133" t="s">
        <v>146</v>
      </c>
      <c r="L6" s="133">
        <v>600</v>
      </c>
      <c r="M6" s="133" t="s">
        <v>146</v>
      </c>
      <c r="N6" s="133" t="s">
        <v>146</v>
      </c>
      <c r="P6" s="133" t="s">
        <v>161</v>
      </c>
      <c r="Q6">
        <f t="shared" si="0"/>
        <v>84.233333333333334</v>
      </c>
      <c r="R6" s="133">
        <v>202.3</v>
      </c>
      <c r="S6">
        <f t="shared" si="1"/>
        <v>84.233333333333334</v>
      </c>
      <c r="T6" s="133">
        <v>206.2</v>
      </c>
      <c r="U6">
        <f t="shared" si="2"/>
        <v>118.06666666666668</v>
      </c>
      <c r="V6">
        <f t="shared" si="3"/>
        <v>121.96666666666665</v>
      </c>
      <c r="W6">
        <f t="shared" si="4"/>
        <v>120.01666666666667</v>
      </c>
      <c r="X6" t="str">
        <f t="shared" si="5"/>
        <v>POSITIVE</v>
      </c>
      <c r="Y6" t="s">
        <v>162</v>
      </c>
      <c r="Z6" t="s">
        <v>149</v>
      </c>
      <c r="AA6" s="133" t="str">
        <f t="shared" si="6"/>
        <v>POSITIVE</v>
      </c>
      <c r="AB6" s="133" t="s">
        <v>163</v>
      </c>
    </row>
    <row r="7" spans="1:28">
      <c r="A7" t="s">
        <v>167</v>
      </c>
      <c r="B7" s="132">
        <v>44613</v>
      </c>
      <c r="C7" s="133" t="s">
        <v>168</v>
      </c>
      <c r="D7" s="133" t="s">
        <v>169</v>
      </c>
      <c r="E7" s="133" t="s">
        <v>146</v>
      </c>
      <c r="F7" s="133" t="s">
        <v>154</v>
      </c>
      <c r="G7" s="133" t="s">
        <v>11</v>
      </c>
      <c r="H7" s="133">
        <v>6</v>
      </c>
      <c r="I7" s="133">
        <v>1</v>
      </c>
      <c r="J7" s="133" t="s">
        <v>146</v>
      </c>
      <c r="K7" s="133" t="s">
        <v>146</v>
      </c>
      <c r="L7" s="133">
        <v>400</v>
      </c>
      <c r="M7" s="133" t="s">
        <v>146</v>
      </c>
      <c r="N7" s="133" t="s">
        <v>146</v>
      </c>
      <c r="P7" s="133" t="s">
        <v>148</v>
      </c>
      <c r="Q7">
        <f t="shared" si="0"/>
        <v>84.233333333333334</v>
      </c>
      <c r="R7" s="133">
        <v>83.4</v>
      </c>
      <c r="S7">
        <f t="shared" si="1"/>
        <v>84.233333333333334</v>
      </c>
      <c r="T7" s="133">
        <v>84.7</v>
      </c>
      <c r="U7">
        <f t="shared" si="2"/>
        <v>-0.8333333333333286</v>
      </c>
      <c r="V7">
        <f t="shared" si="3"/>
        <v>0.46666666666666856</v>
      </c>
      <c r="W7">
        <f t="shared" si="4"/>
        <v>-0.18333333333333002</v>
      </c>
      <c r="X7" t="str">
        <f t="shared" si="5"/>
        <v>NEGATIVE</v>
      </c>
      <c r="Y7" t="s">
        <v>149</v>
      </c>
      <c r="Z7" t="s">
        <v>149</v>
      </c>
      <c r="AA7" s="133" t="str">
        <f t="shared" si="6"/>
        <v>NEGATIVE</v>
      </c>
      <c r="AB7" s="133" t="s">
        <v>150</v>
      </c>
    </row>
    <row r="8" spans="1:28">
      <c r="A8" t="s">
        <v>170</v>
      </c>
      <c r="B8" s="132">
        <v>44613</v>
      </c>
      <c r="C8" s="133" t="s">
        <v>171</v>
      </c>
      <c r="D8" s="133" t="s">
        <v>172</v>
      </c>
      <c r="E8" s="133" t="s">
        <v>146</v>
      </c>
      <c r="F8" s="133" t="s">
        <v>147</v>
      </c>
      <c r="G8" s="133" t="s">
        <v>10</v>
      </c>
      <c r="H8" s="133">
        <v>7</v>
      </c>
      <c r="I8" s="133">
        <v>2</v>
      </c>
      <c r="J8" s="133" t="s">
        <v>146</v>
      </c>
      <c r="K8" s="133" t="s">
        <v>146</v>
      </c>
      <c r="L8" s="133">
        <v>730</v>
      </c>
      <c r="M8" s="133" t="s">
        <v>146</v>
      </c>
      <c r="N8" s="133" t="s">
        <v>146</v>
      </c>
      <c r="P8" s="133" t="s">
        <v>148</v>
      </c>
      <c r="Q8">
        <f t="shared" si="0"/>
        <v>84.233333333333334</v>
      </c>
      <c r="R8" s="133">
        <v>79.900000000000006</v>
      </c>
      <c r="S8">
        <f t="shared" si="1"/>
        <v>84.233333333333334</v>
      </c>
      <c r="T8" s="133">
        <v>76.900000000000006</v>
      </c>
      <c r="U8">
        <f t="shared" si="2"/>
        <v>-4.3333333333333286</v>
      </c>
      <c r="V8">
        <f t="shared" si="3"/>
        <v>-7.3333333333333286</v>
      </c>
      <c r="W8">
        <f t="shared" si="4"/>
        <v>-5.8333333333333286</v>
      </c>
      <c r="X8" t="str">
        <f t="shared" si="5"/>
        <v>NEGATIVE</v>
      </c>
      <c r="Y8" t="s">
        <v>149</v>
      </c>
      <c r="Z8" t="s">
        <v>149</v>
      </c>
      <c r="AA8" s="133" t="str">
        <f t="shared" si="6"/>
        <v>NEGATIVE</v>
      </c>
      <c r="AB8" s="133" t="s">
        <v>150</v>
      </c>
    </row>
    <row r="9" spans="1:28">
      <c r="A9" t="s">
        <v>173</v>
      </c>
      <c r="B9" s="132">
        <v>44613</v>
      </c>
      <c r="C9" s="133" t="s">
        <v>174</v>
      </c>
      <c r="D9" s="133" t="s">
        <v>175</v>
      </c>
      <c r="E9" s="133" t="s">
        <v>146</v>
      </c>
      <c r="F9" s="133" t="s">
        <v>154</v>
      </c>
      <c r="G9" s="133" t="s">
        <v>11</v>
      </c>
      <c r="H9" s="133">
        <v>8</v>
      </c>
      <c r="I9" s="133">
        <v>1</v>
      </c>
      <c r="J9" s="133" t="s">
        <v>146</v>
      </c>
      <c r="K9" s="133" t="s">
        <v>146</v>
      </c>
      <c r="L9" s="133">
        <v>390</v>
      </c>
      <c r="M9" s="133" t="s">
        <v>146</v>
      </c>
      <c r="N9" s="133" t="s">
        <v>146</v>
      </c>
      <c r="P9" s="133" t="s">
        <v>176</v>
      </c>
      <c r="Q9">
        <f t="shared" si="0"/>
        <v>84.233333333333334</v>
      </c>
      <c r="R9" s="133">
        <v>124.5</v>
      </c>
      <c r="S9">
        <f t="shared" si="1"/>
        <v>84.233333333333334</v>
      </c>
      <c r="T9" s="133">
        <v>123.1</v>
      </c>
      <c r="U9">
        <f t="shared" si="2"/>
        <v>40.266666666666666</v>
      </c>
      <c r="V9">
        <f t="shared" si="3"/>
        <v>38.86666666666666</v>
      </c>
      <c r="W9">
        <f t="shared" si="4"/>
        <v>39.566666666666663</v>
      </c>
      <c r="X9" t="str">
        <f t="shared" si="5"/>
        <v>POSITIVE</v>
      </c>
      <c r="Y9" t="s">
        <v>149</v>
      </c>
      <c r="Z9" t="s">
        <v>162</v>
      </c>
      <c r="AA9" s="133" t="str">
        <f t="shared" si="6"/>
        <v>POSITIVE</v>
      </c>
      <c r="AB9" s="133" t="s">
        <v>146</v>
      </c>
    </row>
    <row r="10" spans="1:28">
      <c r="A10" t="s">
        <v>177</v>
      </c>
      <c r="B10" s="132">
        <v>44613</v>
      </c>
      <c r="C10" s="133" t="s">
        <v>178</v>
      </c>
      <c r="D10" s="133" t="s">
        <v>179</v>
      </c>
      <c r="E10" s="133" t="s">
        <v>146</v>
      </c>
      <c r="F10" s="133" t="s">
        <v>154</v>
      </c>
      <c r="G10" s="133" t="s">
        <v>11</v>
      </c>
      <c r="H10" s="133">
        <v>9</v>
      </c>
      <c r="I10" s="133">
        <v>1</v>
      </c>
      <c r="J10" s="133" t="s">
        <v>146</v>
      </c>
      <c r="K10" s="133" t="s">
        <v>146</v>
      </c>
      <c r="L10" s="133">
        <v>390</v>
      </c>
      <c r="M10" s="133" t="s">
        <v>146</v>
      </c>
      <c r="N10" s="133" t="s">
        <v>146</v>
      </c>
      <c r="P10" s="133" t="s">
        <v>148</v>
      </c>
      <c r="Q10">
        <f t="shared" si="0"/>
        <v>84.233333333333334</v>
      </c>
      <c r="R10" s="133">
        <v>81.900000000000006</v>
      </c>
      <c r="S10">
        <f t="shared" si="1"/>
        <v>84.233333333333334</v>
      </c>
      <c r="T10" s="133">
        <v>82.4</v>
      </c>
      <c r="U10">
        <f t="shared" si="2"/>
        <v>-2.3333333333333286</v>
      </c>
      <c r="V10">
        <f t="shared" si="3"/>
        <v>-1.8333333333333286</v>
      </c>
      <c r="W10">
        <f t="shared" si="4"/>
        <v>-2.0833333333333286</v>
      </c>
      <c r="X10" t="str">
        <f t="shared" si="5"/>
        <v>NEGATIVE</v>
      </c>
      <c r="Y10" t="s">
        <v>149</v>
      </c>
      <c r="Z10" t="s">
        <v>149</v>
      </c>
      <c r="AA10" s="133" t="str">
        <f t="shared" si="6"/>
        <v>NEGATIVE</v>
      </c>
      <c r="AB10" s="133" t="s">
        <v>150</v>
      </c>
    </row>
    <row r="11" spans="1:28">
      <c r="A11" t="s">
        <v>180</v>
      </c>
      <c r="B11" s="132">
        <v>44613</v>
      </c>
      <c r="C11" s="133" t="s">
        <v>181</v>
      </c>
      <c r="D11" s="133" t="s">
        <v>146</v>
      </c>
      <c r="E11" s="133" t="s">
        <v>146</v>
      </c>
      <c r="F11" s="133" t="s">
        <v>154</v>
      </c>
      <c r="G11" s="133" t="s">
        <v>9</v>
      </c>
      <c r="H11" s="133" t="s">
        <v>146</v>
      </c>
      <c r="I11" s="133">
        <v>4</v>
      </c>
      <c r="J11" s="133" t="s">
        <v>146</v>
      </c>
      <c r="K11" s="133" t="s">
        <v>146</v>
      </c>
      <c r="L11" s="133" t="s">
        <v>146</v>
      </c>
      <c r="M11" s="133" t="s">
        <v>146</v>
      </c>
      <c r="N11" s="133" t="s">
        <v>146</v>
      </c>
      <c r="P11" s="133" t="s">
        <v>161</v>
      </c>
      <c r="Q11" s="133" t="s">
        <v>146</v>
      </c>
      <c r="R11" s="133" t="s">
        <v>146</v>
      </c>
      <c r="S11" s="133" t="s">
        <v>146</v>
      </c>
      <c r="T11" s="133" t="s">
        <v>146</v>
      </c>
      <c r="U11" s="133" t="s">
        <v>146</v>
      </c>
      <c r="V11" s="133" t="s">
        <v>146</v>
      </c>
      <c r="W11" s="133" t="s">
        <v>146</v>
      </c>
      <c r="X11" s="133" t="s">
        <v>146</v>
      </c>
      <c r="Y11" s="133" t="s">
        <v>146</v>
      </c>
      <c r="Z11" s="133" t="s">
        <v>146</v>
      </c>
      <c r="AA11" s="133" t="s">
        <v>146</v>
      </c>
      <c r="AB11" s="133" t="s">
        <v>163</v>
      </c>
    </row>
    <row r="12" spans="1:28">
      <c r="A12" t="s">
        <v>182</v>
      </c>
      <c r="B12" s="132">
        <v>44613</v>
      </c>
      <c r="C12" s="133" t="s">
        <v>183</v>
      </c>
      <c r="D12" s="133" t="s">
        <v>146</v>
      </c>
      <c r="E12" s="133" t="s">
        <v>146</v>
      </c>
      <c r="F12" s="133" t="s">
        <v>147</v>
      </c>
      <c r="G12" s="133" t="s">
        <v>11</v>
      </c>
      <c r="H12" s="133" t="s">
        <v>146</v>
      </c>
      <c r="I12" s="133">
        <v>3</v>
      </c>
      <c r="J12" s="133" t="s">
        <v>146</v>
      </c>
      <c r="K12" s="133" t="s">
        <v>146</v>
      </c>
      <c r="L12" s="133" t="s">
        <v>146</v>
      </c>
      <c r="M12" s="133" t="s">
        <v>146</v>
      </c>
      <c r="N12" s="133" t="s">
        <v>146</v>
      </c>
      <c r="P12" s="133" t="s">
        <v>176</v>
      </c>
      <c r="Q12" s="133" t="s">
        <v>146</v>
      </c>
      <c r="R12" s="133" t="s">
        <v>146</v>
      </c>
      <c r="S12" s="133" t="s">
        <v>146</v>
      </c>
      <c r="T12" s="133" t="s">
        <v>146</v>
      </c>
      <c r="U12" s="133" t="s">
        <v>146</v>
      </c>
      <c r="V12" s="133" t="s">
        <v>146</v>
      </c>
      <c r="W12" s="133" t="s">
        <v>146</v>
      </c>
      <c r="X12" s="133" t="s">
        <v>146</v>
      </c>
      <c r="Y12" s="133" t="s">
        <v>146</v>
      </c>
      <c r="Z12" s="133" t="s">
        <v>146</v>
      </c>
      <c r="AA12" s="133" t="s">
        <v>146</v>
      </c>
      <c r="AB12" s="133" t="s">
        <v>146</v>
      </c>
    </row>
    <row r="13" spans="1:28">
      <c r="A13" t="s">
        <v>184</v>
      </c>
      <c r="B13" s="132">
        <v>44613</v>
      </c>
      <c r="C13" s="133" t="s">
        <v>185</v>
      </c>
      <c r="D13" s="133" t="s">
        <v>146</v>
      </c>
      <c r="E13" s="133" t="s">
        <v>146</v>
      </c>
      <c r="F13" s="133" t="s">
        <v>154</v>
      </c>
      <c r="G13" s="133" t="s">
        <v>9</v>
      </c>
      <c r="H13" s="133" t="s">
        <v>146</v>
      </c>
      <c r="I13" s="133">
        <v>5</v>
      </c>
      <c r="J13" s="133" t="s">
        <v>146</v>
      </c>
      <c r="K13" s="133" t="s">
        <v>146</v>
      </c>
      <c r="L13" s="133" t="s">
        <v>146</v>
      </c>
      <c r="M13" s="133" t="s">
        <v>146</v>
      </c>
      <c r="N13" s="133" t="s">
        <v>146</v>
      </c>
      <c r="P13" s="133" t="s">
        <v>161</v>
      </c>
      <c r="Q13" s="133" t="s">
        <v>146</v>
      </c>
      <c r="R13" s="133" t="s">
        <v>146</v>
      </c>
      <c r="S13" s="133" t="s">
        <v>146</v>
      </c>
      <c r="T13" s="133" t="s">
        <v>146</v>
      </c>
      <c r="U13" s="133" t="s">
        <v>146</v>
      </c>
      <c r="V13" s="133" t="s">
        <v>146</v>
      </c>
      <c r="W13" s="133" t="s">
        <v>146</v>
      </c>
      <c r="X13" s="133" t="s">
        <v>146</v>
      </c>
      <c r="Y13" s="133" t="s">
        <v>146</v>
      </c>
      <c r="Z13" s="133" t="s">
        <v>146</v>
      </c>
      <c r="AA13" s="133" t="s">
        <v>146</v>
      </c>
      <c r="AB13" s="133" t="s">
        <v>163</v>
      </c>
    </row>
    <row r="14" spans="1:28">
      <c r="A14" t="s">
        <v>186</v>
      </c>
      <c r="B14" s="132">
        <v>44613</v>
      </c>
      <c r="C14" s="133" t="s">
        <v>187</v>
      </c>
      <c r="D14" s="133" t="s">
        <v>146</v>
      </c>
      <c r="E14" s="133" t="s">
        <v>146</v>
      </c>
      <c r="F14" s="133" t="s">
        <v>154</v>
      </c>
      <c r="G14" s="133" t="s">
        <v>9</v>
      </c>
      <c r="H14" s="133" t="s">
        <v>146</v>
      </c>
      <c r="I14" s="133">
        <v>5</v>
      </c>
      <c r="J14" s="133" t="s">
        <v>146</v>
      </c>
      <c r="K14" s="133" t="s">
        <v>146</v>
      </c>
      <c r="L14" s="133" t="s">
        <v>146</v>
      </c>
      <c r="M14" s="133" t="s">
        <v>146</v>
      </c>
      <c r="N14" s="133" t="s">
        <v>146</v>
      </c>
      <c r="P14" s="133" t="s">
        <v>161</v>
      </c>
      <c r="Q14" s="133" t="s">
        <v>146</v>
      </c>
      <c r="R14" s="133" t="s">
        <v>146</v>
      </c>
      <c r="S14" s="133" t="s">
        <v>146</v>
      </c>
      <c r="T14" s="133" t="s">
        <v>146</v>
      </c>
      <c r="U14" s="133" t="s">
        <v>146</v>
      </c>
      <c r="V14" s="133" t="s">
        <v>146</v>
      </c>
      <c r="W14" s="133" t="s">
        <v>146</v>
      </c>
      <c r="X14" s="133" t="s">
        <v>146</v>
      </c>
      <c r="Y14" s="133" t="s">
        <v>146</v>
      </c>
      <c r="Z14" s="133" t="s">
        <v>146</v>
      </c>
      <c r="AA14" s="133" t="s">
        <v>146</v>
      </c>
      <c r="AB14" s="133" t="s">
        <v>163</v>
      </c>
    </row>
    <row r="15" spans="1:28">
      <c r="A15" t="s">
        <v>188</v>
      </c>
      <c r="B15" s="132">
        <v>44613</v>
      </c>
      <c r="C15" s="133" t="s">
        <v>189</v>
      </c>
      <c r="D15" s="133" t="s">
        <v>146</v>
      </c>
      <c r="E15" s="133" t="s">
        <v>146</v>
      </c>
      <c r="F15" s="133" t="s">
        <v>147</v>
      </c>
      <c r="G15" s="133" t="s">
        <v>11</v>
      </c>
      <c r="H15" s="133" t="s">
        <v>146</v>
      </c>
      <c r="I15" s="133">
        <v>3</v>
      </c>
      <c r="J15" s="133" t="s">
        <v>146</v>
      </c>
      <c r="K15" s="133" t="s">
        <v>146</v>
      </c>
      <c r="L15" s="133" t="s">
        <v>146</v>
      </c>
      <c r="M15" s="133" t="s">
        <v>146</v>
      </c>
      <c r="N15" s="133" t="s">
        <v>146</v>
      </c>
      <c r="P15" s="133" t="s">
        <v>176</v>
      </c>
      <c r="Q15" s="133" t="s">
        <v>146</v>
      </c>
      <c r="R15" s="133" t="s">
        <v>146</v>
      </c>
      <c r="S15" s="133" t="s">
        <v>146</v>
      </c>
      <c r="T15" s="133" t="s">
        <v>146</v>
      </c>
      <c r="U15" s="133" t="s">
        <v>146</v>
      </c>
      <c r="V15" s="133" t="s">
        <v>146</v>
      </c>
      <c r="W15" s="133" t="s">
        <v>146</v>
      </c>
      <c r="X15" s="133" t="s">
        <v>146</v>
      </c>
      <c r="Y15" s="133" t="s">
        <v>146</v>
      </c>
      <c r="Z15" s="133" t="s">
        <v>146</v>
      </c>
      <c r="AA15" s="133" t="s">
        <v>146</v>
      </c>
      <c r="AB15" s="133" t="s">
        <v>146</v>
      </c>
    </row>
    <row r="16" spans="1:28">
      <c r="A16" t="s">
        <v>190</v>
      </c>
      <c r="B16" s="132">
        <v>44613</v>
      </c>
      <c r="C16" s="133" t="s">
        <v>191</v>
      </c>
      <c r="D16" s="133" t="s">
        <v>146</v>
      </c>
      <c r="E16" s="133" t="s">
        <v>146</v>
      </c>
      <c r="F16" s="133" t="s">
        <v>154</v>
      </c>
      <c r="G16" s="133" t="s">
        <v>9</v>
      </c>
      <c r="H16" s="133" t="s">
        <v>146</v>
      </c>
      <c r="I16" s="133">
        <v>5</v>
      </c>
      <c r="J16" s="133" t="s">
        <v>146</v>
      </c>
      <c r="K16" s="133" t="s">
        <v>146</v>
      </c>
      <c r="L16" s="133" t="s">
        <v>146</v>
      </c>
      <c r="M16" s="133" t="s">
        <v>146</v>
      </c>
      <c r="N16" s="133" t="s">
        <v>146</v>
      </c>
      <c r="P16" s="133" t="s">
        <v>161</v>
      </c>
      <c r="Q16" s="133" t="s">
        <v>146</v>
      </c>
      <c r="R16" s="133" t="s">
        <v>146</v>
      </c>
      <c r="S16" s="133" t="s">
        <v>146</v>
      </c>
      <c r="T16" s="133" t="s">
        <v>146</v>
      </c>
      <c r="U16" s="133" t="s">
        <v>146</v>
      </c>
      <c r="V16" s="133" t="s">
        <v>146</v>
      </c>
      <c r="W16" s="133" t="s">
        <v>146</v>
      </c>
      <c r="X16" s="133" t="s">
        <v>146</v>
      </c>
      <c r="Y16" s="133" t="s">
        <v>146</v>
      </c>
      <c r="Z16" s="133" t="s">
        <v>146</v>
      </c>
      <c r="AA16" s="133" t="s">
        <v>146</v>
      </c>
      <c r="AB16" s="133" t="s">
        <v>163</v>
      </c>
    </row>
    <row r="17" spans="1:28">
      <c r="A17" t="s">
        <v>192</v>
      </c>
      <c r="B17" s="132">
        <v>44613</v>
      </c>
      <c r="C17" s="133" t="s">
        <v>193</v>
      </c>
      <c r="D17" s="133" t="s">
        <v>146</v>
      </c>
      <c r="E17" s="133" t="s">
        <v>146</v>
      </c>
      <c r="F17" s="133" t="s">
        <v>147</v>
      </c>
      <c r="G17" s="133" t="s">
        <v>9</v>
      </c>
      <c r="H17" s="133" t="s">
        <v>146</v>
      </c>
      <c r="I17" s="133">
        <v>5</v>
      </c>
      <c r="J17" s="133" t="s">
        <v>146</v>
      </c>
      <c r="K17" s="133" t="s">
        <v>146</v>
      </c>
      <c r="L17" s="133" t="s">
        <v>146</v>
      </c>
      <c r="M17" s="133" t="s">
        <v>146</v>
      </c>
      <c r="N17" s="133" t="s">
        <v>146</v>
      </c>
      <c r="P17" s="133" t="s">
        <v>161</v>
      </c>
      <c r="Q17" s="133" t="s">
        <v>146</v>
      </c>
      <c r="R17" s="133" t="s">
        <v>146</v>
      </c>
      <c r="S17" s="133" t="s">
        <v>146</v>
      </c>
      <c r="T17" s="133" t="s">
        <v>146</v>
      </c>
      <c r="U17" s="133" t="s">
        <v>146</v>
      </c>
      <c r="V17" s="133" t="s">
        <v>146</v>
      </c>
      <c r="W17" s="133" t="s">
        <v>146</v>
      </c>
      <c r="X17" s="133" t="s">
        <v>146</v>
      </c>
      <c r="Y17" s="133" t="s">
        <v>146</v>
      </c>
      <c r="Z17" s="133" t="s">
        <v>146</v>
      </c>
      <c r="AA17" s="133" t="s">
        <v>146</v>
      </c>
      <c r="AB17" s="133" t="s">
        <v>163</v>
      </c>
    </row>
    <row r="18" spans="1:28">
      <c r="A18" t="s">
        <v>194</v>
      </c>
      <c r="B18" s="132">
        <v>44613</v>
      </c>
      <c r="C18" s="133" t="s">
        <v>195</v>
      </c>
      <c r="D18" s="133" t="s">
        <v>146</v>
      </c>
      <c r="E18" s="133" t="s">
        <v>146</v>
      </c>
      <c r="F18" s="133" t="s">
        <v>147</v>
      </c>
      <c r="G18" s="133" t="s">
        <v>9</v>
      </c>
      <c r="H18" s="133" t="s">
        <v>146</v>
      </c>
      <c r="I18" s="133">
        <v>5</v>
      </c>
      <c r="J18" s="133" t="s">
        <v>146</v>
      </c>
      <c r="K18" s="133" t="s">
        <v>146</v>
      </c>
      <c r="L18" s="133" t="s">
        <v>146</v>
      </c>
      <c r="M18" s="133" t="s">
        <v>146</v>
      </c>
      <c r="N18" s="133" t="s">
        <v>146</v>
      </c>
      <c r="P18" s="133" t="s">
        <v>161</v>
      </c>
      <c r="Q18" s="133" t="s">
        <v>146</v>
      </c>
      <c r="R18" s="133" t="s">
        <v>146</v>
      </c>
      <c r="S18" s="133" t="s">
        <v>146</v>
      </c>
      <c r="T18" s="133" t="s">
        <v>146</v>
      </c>
      <c r="U18" s="133" t="s">
        <v>146</v>
      </c>
      <c r="V18" s="133" t="s">
        <v>146</v>
      </c>
      <c r="W18" s="133" t="s">
        <v>146</v>
      </c>
      <c r="X18" s="133" t="s">
        <v>146</v>
      </c>
      <c r="Y18" s="133" t="s">
        <v>146</v>
      </c>
      <c r="Z18" s="133" t="s">
        <v>146</v>
      </c>
      <c r="AA18" s="133" t="s">
        <v>146</v>
      </c>
      <c r="AB18" s="133" t="s">
        <v>163</v>
      </c>
    </row>
    <row r="19" spans="1:28">
      <c r="A19" t="s">
        <v>196</v>
      </c>
      <c r="B19" s="132">
        <v>44613</v>
      </c>
      <c r="C19" s="133" t="s">
        <v>197</v>
      </c>
      <c r="D19" s="133" t="s">
        <v>146</v>
      </c>
      <c r="E19" s="133" t="s">
        <v>146</v>
      </c>
      <c r="F19" s="133" t="s">
        <v>147</v>
      </c>
      <c r="G19" s="133" t="s">
        <v>11</v>
      </c>
      <c r="H19" s="133" t="s">
        <v>146</v>
      </c>
      <c r="I19" s="133">
        <v>3</v>
      </c>
      <c r="J19" s="133" t="s">
        <v>146</v>
      </c>
      <c r="K19" s="133" t="s">
        <v>146</v>
      </c>
      <c r="L19" s="133" t="s">
        <v>146</v>
      </c>
      <c r="M19" s="133" t="s">
        <v>146</v>
      </c>
      <c r="N19" s="133" t="s">
        <v>146</v>
      </c>
      <c r="P19" s="133" t="s">
        <v>176</v>
      </c>
      <c r="Q19" s="133" t="s">
        <v>146</v>
      </c>
      <c r="R19" s="133" t="s">
        <v>146</v>
      </c>
      <c r="S19" s="133" t="s">
        <v>146</v>
      </c>
      <c r="T19" s="133" t="s">
        <v>146</v>
      </c>
      <c r="U19" s="133" t="s">
        <v>146</v>
      </c>
      <c r="V19" s="133" t="s">
        <v>146</v>
      </c>
      <c r="W19" s="133" t="s">
        <v>146</v>
      </c>
      <c r="X19" s="133" t="s">
        <v>146</v>
      </c>
      <c r="Y19" s="133" t="s">
        <v>146</v>
      </c>
      <c r="Z19" s="133" t="s">
        <v>146</v>
      </c>
      <c r="AA19" s="133" t="s">
        <v>146</v>
      </c>
      <c r="AB19" s="133" t="s">
        <v>146</v>
      </c>
    </row>
    <row r="20" spans="1:28">
      <c r="A20" t="s">
        <v>198</v>
      </c>
      <c r="B20" s="132">
        <v>44613</v>
      </c>
      <c r="C20" s="133" t="s">
        <v>199</v>
      </c>
      <c r="D20" s="133" t="s">
        <v>146</v>
      </c>
      <c r="E20" s="133" t="s">
        <v>146</v>
      </c>
      <c r="F20" s="133" t="s">
        <v>154</v>
      </c>
      <c r="G20" s="133" t="s">
        <v>9</v>
      </c>
      <c r="H20" s="133" t="s">
        <v>146</v>
      </c>
      <c r="I20" s="133">
        <v>4</v>
      </c>
      <c r="J20" s="133" t="s">
        <v>146</v>
      </c>
      <c r="K20" s="133" t="s">
        <v>146</v>
      </c>
      <c r="L20" s="133" t="s">
        <v>146</v>
      </c>
      <c r="M20" s="133" t="s">
        <v>146</v>
      </c>
      <c r="N20" s="133" t="s">
        <v>146</v>
      </c>
      <c r="P20" s="133" t="s">
        <v>161</v>
      </c>
      <c r="Q20" s="133" t="s">
        <v>146</v>
      </c>
      <c r="R20" s="133" t="s">
        <v>146</v>
      </c>
      <c r="S20" s="133" t="s">
        <v>146</v>
      </c>
      <c r="T20" s="133" t="s">
        <v>146</v>
      </c>
      <c r="U20" s="133" t="s">
        <v>146</v>
      </c>
      <c r="V20" s="133" t="s">
        <v>146</v>
      </c>
      <c r="W20" s="133" t="s">
        <v>146</v>
      </c>
      <c r="X20" s="133" t="s">
        <v>146</v>
      </c>
      <c r="Y20" s="133" t="s">
        <v>146</v>
      </c>
      <c r="Z20" s="133" t="s">
        <v>146</v>
      </c>
      <c r="AA20" s="133" t="s">
        <v>146</v>
      </c>
      <c r="AB20" s="133" t="s">
        <v>163</v>
      </c>
    </row>
    <row r="21" spans="1:28">
      <c r="A21" t="s">
        <v>200</v>
      </c>
      <c r="B21" s="132">
        <v>44613</v>
      </c>
      <c r="C21" s="133" t="s">
        <v>201</v>
      </c>
      <c r="D21" s="133" t="s">
        <v>146</v>
      </c>
      <c r="E21" s="133" t="s">
        <v>146</v>
      </c>
      <c r="F21" s="133" t="s">
        <v>154</v>
      </c>
      <c r="G21" s="133" t="s">
        <v>9</v>
      </c>
      <c r="H21" s="133" t="s">
        <v>146</v>
      </c>
      <c r="I21" s="133">
        <v>4</v>
      </c>
      <c r="J21" s="133" t="s">
        <v>146</v>
      </c>
      <c r="K21" s="133" t="s">
        <v>146</v>
      </c>
      <c r="L21" s="133" t="s">
        <v>146</v>
      </c>
      <c r="M21" s="133" t="s">
        <v>146</v>
      </c>
      <c r="N21" s="133" t="s">
        <v>146</v>
      </c>
      <c r="P21" s="133" t="s">
        <v>161</v>
      </c>
      <c r="Q21" s="133" t="s">
        <v>146</v>
      </c>
      <c r="R21" s="133" t="s">
        <v>146</v>
      </c>
      <c r="S21" s="133" t="s">
        <v>146</v>
      </c>
      <c r="T21" s="133" t="s">
        <v>146</v>
      </c>
      <c r="U21" s="133" t="s">
        <v>146</v>
      </c>
      <c r="V21" s="133" t="s">
        <v>146</v>
      </c>
      <c r="W21" s="133" t="s">
        <v>146</v>
      </c>
      <c r="X21" s="133" t="s">
        <v>146</v>
      </c>
      <c r="Y21" s="133" t="s">
        <v>146</v>
      </c>
      <c r="Z21" s="133" t="s">
        <v>146</v>
      </c>
      <c r="AA21" s="133" t="s">
        <v>146</v>
      </c>
      <c r="AB21" s="133" t="s">
        <v>163</v>
      </c>
    </row>
    <row r="22" spans="1:28">
      <c r="A22" t="s">
        <v>202</v>
      </c>
      <c r="B22" s="132">
        <v>44613</v>
      </c>
      <c r="C22" s="133" t="s">
        <v>203</v>
      </c>
      <c r="D22" s="133" t="s">
        <v>146</v>
      </c>
      <c r="E22" s="133" t="s">
        <v>146</v>
      </c>
      <c r="F22" s="133" t="s">
        <v>154</v>
      </c>
      <c r="G22" s="133" t="s">
        <v>9</v>
      </c>
      <c r="H22" s="133" t="s">
        <v>146</v>
      </c>
      <c r="I22" s="133">
        <v>4</v>
      </c>
      <c r="J22" s="133" t="s">
        <v>146</v>
      </c>
      <c r="K22" s="133" t="s">
        <v>146</v>
      </c>
      <c r="L22" s="133" t="s">
        <v>146</v>
      </c>
      <c r="M22" s="133" t="s">
        <v>146</v>
      </c>
      <c r="N22" s="133" t="s">
        <v>146</v>
      </c>
      <c r="P22" s="133" t="s">
        <v>161</v>
      </c>
      <c r="Q22" s="133" t="s">
        <v>146</v>
      </c>
      <c r="R22" s="133" t="s">
        <v>146</v>
      </c>
      <c r="S22" s="133" t="s">
        <v>146</v>
      </c>
      <c r="T22" s="133" t="s">
        <v>146</v>
      </c>
      <c r="U22" s="133" t="s">
        <v>146</v>
      </c>
      <c r="V22" s="133" t="s">
        <v>146</v>
      </c>
      <c r="W22" s="133" t="s">
        <v>146</v>
      </c>
      <c r="X22" s="133" t="s">
        <v>146</v>
      </c>
      <c r="Y22" s="133" t="s">
        <v>146</v>
      </c>
      <c r="Z22" s="133" t="s">
        <v>146</v>
      </c>
      <c r="AA22" s="133" t="s">
        <v>146</v>
      </c>
      <c r="AB22" s="133" t="s">
        <v>163</v>
      </c>
    </row>
    <row r="23" spans="1:28">
      <c r="A23" t="s">
        <v>204</v>
      </c>
      <c r="B23" s="132">
        <v>44613</v>
      </c>
      <c r="C23" s="133" t="s">
        <v>205</v>
      </c>
      <c r="D23" s="133" t="s">
        <v>146</v>
      </c>
      <c r="E23" s="133" t="s">
        <v>146</v>
      </c>
      <c r="F23" s="133" t="s">
        <v>154</v>
      </c>
      <c r="G23" s="133" t="s">
        <v>9</v>
      </c>
      <c r="H23" s="133" t="s">
        <v>146</v>
      </c>
      <c r="I23" s="133">
        <v>4</v>
      </c>
      <c r="J23" s="133" t="s">
        <v>146</v>
      </c>
      <c r="K23" s="133" t="s">
        <v>146</v>
      </c>
      <c r="L23" s="133" t="s">
        <v>146</v>
      </c>
      <c r="M23" s="133" t="s">
        <v>146</v>
      </c>
      <c r="N23" s="133" t="s">
        <v>146</v>
      </c>
      <c r="P23" s="133" t="s">
        <v>161</v>
      </c>
      <c r="Q23" s="133" t="s">
        <v>146</v>
      </c>
      <c r="R23" s="133" t="s">
        <v>146</v>
      </c>
      <c r="S23" s="133" t="s">
        <v>146</v>
      </c>
      <c r="T23" s="133" t="s">
        <v>146</v>
      </c>
      <c r="U23" s="133" t="s">
        <v>146</v>
      </c>
      <c r="V23" s="133" t="s">
        <v>146</v>
      </c>
      <c r="W23" s="133" t="s">
        <v>146</v>
      </c>
      <c r="X23" s="133" t="s">
        <v>146</v>
      </c>
      <c r="Y23" s="133" t="s">
        <v>146</v>
      </c>
      <c r="Z23" s="133" t="s">
        <v>146</v>
      </c>
      <c r="AA23" s="133" t="s">
        <v>146</v>
      </c>
      <c r="AB23" s="133" t="s">
        <v>163</v>
      </c>
    </row>
    <row r="24" spans="1:28">
      <c r="A24" t="s">
        <v>206</v>
      </c>
      <c r="B24" s="132">
        <v>44613</v>
      </c>
      <c r="C24" s="133" t="s">
        <v>207</v>
      </c>
      <c r="D24" s="133" t="s">
        <v>146</v>
      </c>
      <c r="E24" s="133" t="s">
        <v>146</v>
      </c>
      <c r="F24" s="133" t="s">
        <v>154</v>
      </c>
      <c r="G24" s="133" t="s">
        <v>9</v>
      </c>
      <c r="H24" s="133" t="s">
        <v>146</v>
      </c>
      <c r="I24" s="133">
        <v>4</v>
      </c>
      <c r="J24" s="133" t="s">
        <v>146</v>
      </c>
      <c r="K24" s="133" t="s">
        <v>146</v>
      </c>
      <c r="L24" s="133" t="s">
        <v>146</v>
      </c>
      <c r="M24" s="133" t="s">
        <v>146</v>
      </c>
      <c r="N24" s="133" t="s">
        <v>146</v>
      </c>
      <c r="P24" s="133" t="s">
        <v>161</v>
      </c>
      <c r="Q24" s="133" t="s">
        <v>146</v>
      </c>
      <c r="R24" s="133" t="s">
        <v>146</v>
      </c>
      <c r="S24" s="133" t="s">
        <v>146</v>
      </c>
      <c r="T24" s="133" t="s">
        <v>146</v>
      </c>
      <c r="U24" s="133" t="s">
        <v>146</v>
      </c>
      <c r="V24" s="133" t="s">
        <v>146</v>
      </c>
      <c r="W24" s="133" t="s">
        <v>146</v>
      </c>
      <c r="X24" s="133" t="s">
        <v>146</v>
      </c>
      <c r="Y24" s="133" t="s">
        <v>146</v>
      </c>
      <c r="Z24" s="133" t="s">
        <v>146</v>
      </c>
      <c r="AA24" s="133" t="s">
        <v>146</v>
      </c>
      <c r="AB24" s="133" t="s">
        <v>163</v>
      </c>
    </row>
    <row r="25" spans="1:28">
      <c r="A25" t="s">
        <v>208</v>
      </c>
      <c r="B25" s="132">
        <v>44613</v>
      </c>
      <c r="C25" s="133" t="s">
        <v>209</v>
      </c>
      <c r="D25" s="133" t="s">
        <v>146</v>
      </c>
      <c r="E25" s="133" t="s">
        <v>146</v>
      </c>
      <c r="F25" s="133" t="s">
        <v>154</v>
      </c>
      <c r="G25" s="133" t="s">
        <v>9</v>
      </c>
      <c r="H25" s="133" t="s">
        <v>146</v>
      </c>
      <c r="I25" s="133">
        <v>4</v>
      </c>
      <c r="J25" s="133" t="s">
        <v>146</v>
      </c>
      <c r="K25" s="133" t="s">
        <v>146</v>
      </c>
      <c r="L25" s="133" t="s">
        <v>146</v>
      </c>
      <c r="M25" s="133" t="s">
        <v>146</v>
      </c>
      <c r="N25" s="133" t="s">
        <v>146</v>
      </c>
      <c r="P25" s="133" t="s">
        <v>161</v>
      </c>
      <c r="Q25" s="133" t="s">
        <v>146</v>
      </c>
      <c r="R25" s="133" t="s">
        <v>146</v>
      </c>
      <c r="S25" s="133" t="s">
        <v>146</v>
      </c>
      <c r="T25" s="133" t="s">
        <v>146</v>
      </c>
      <c r="U25" s="133" t="s">
        <v>146</v>
      </c>
      <c r="V25" s="133" t="s">
        <v>146</v>
      </c>
      <c r="W25" s="133" t="s">
        <v>146</v>
      </c>
      <c r="X25" s="133" t="s">
        <v>146</v>
      </c>
      <c r="Y25" s="133" t="s">
        <v>146</v>
      </c>
      <c r="Z25" s="133" t="s">
        <v>146</v>
      </c>
      <c r="AA25" s="133" t="s">
        <v>146</v>
      </c>
      <c r="AB25" s="133" t="s">
        <v>163</v>
      </c>
    </row>
    <row r="26" spans="1:28">
      <c r="A26" t="s">
        <v>210</v>
      </c>
      <c r="B26" s="132">
        <v>44613</v>
      </c>
      <c r="C26" s="133" t="s">
        <v>211</v>
      </c>
      <c r="D26" s="133" t="s">
        <v>146</v>
      </c>
      <c r="E26" s="133" t="s">
        <v>146</v>
      </c>
      <c r="F26" s="133" t="s">
        <v>154</v>
      </c>
      <c r="G26" s="133" t="s">
        <v>9</v>
      </c>
      <c r="H26" s="133" t="s">
        <v>146</v>
      </c>
      <c r="I26" s="133">
        <v>4</v>
      </c>
      <c r="J26" s="133" t="s">
        <v>146</v>
      </c>
      <c r="K26" s="133" t="s">
        <v>146</v>
      </c>
      <c r="L26" s="133" t="s">
        <v>146</v>
      </c>
      <c r="M26" s="133" t="s">
        <v>146</v>
      </c>
      <c r="N26" s="133" t="s">
        <v>146</v>
      </c>
      <c r="P26" s="133" t="s">
        <v>161</v>
      </c>
      <c r="Q26" s="133" t="s">
        <v>146</v>
      </c>
      <c r="R26" s="133" t="s">
        <v>146</v>
      </c>
      <c r="S26" s="133" t="s">
        <v>146</v>
      </c>
      <c r="T26" s="133" t="s">
        <v>146</v>
      </c>
      <c r="U26" s="133" t="s">
        <v>146</v>
      </c>
      <c r="V26" s="133" t="s">
        <v>146</v>
      </c>
      <c r="W26" s="133" t="s">
        <v>146</v>
      </c>
      <c r="X26" s="133" t="s">
        <v>146</v>
      </c>
      <c r="Y26" s="133" t="s">
        <v>146</v>
      </c>
      <c r="Z26" s="133" t="s">
        <v>146</v>
      </c>
      <c r="AA26" s="133" t="s">
        <v>146</v>
      </c>
      <c r="AB26" s="133" t="s">
        <v>163</v>
      </c>
    </row>
    <row r="27" spans="1:28">
      <c r="A27" t="s">
        <v>212</v>
      </c>
      <c r="B27" s="132">
        <v>44613</v>
      </c>
      <c r="C27" s="133" t="s">
        <v>213</v>
      </c>
      <c r="D27" s="133" t="s">
        <v>146</v>
      </c>
      <c r="E27" s="133" t="s">
        <v>146</v>
      </c>
      <c r="F27" s="133" t="s">
        <v>154</v>
      </c>
      <c r="G27" s="133" t="s">
        <v>9</v>
      </c>
      <c r="H27" s="133" t="s">
        <v>146</v>
      </c>
      <c r="I27" s="133">
        <v>4</v>
      </c>
      <c r="J27" s="133" t="s">
        <v>146</v>
      </c>
      <c r="K27" s="133" t="s">
        <v>146</v>
      </c>
      <c r="L27" s="133" t="s">
        <v>146</v>
      </c>
      <c r="M27" s="133" t="s">
        <v>146</v>
      </c>
      <c r="N27" s="133" t="s">
        <v>146</v>
      </c>
      <c r="P27" s="133" t="s">
        <v>161</v>
      </c>
      <c r="Q27" s="133" t="s">
        <v>146</v>
      </c>
      <c r="R27" s="133" t="s">
        <v>146</v>
      </c>
      <c r="S27" s="133" t="s">
        <v>146</v>
      </c>
      <c r="T27" s="133" t="s">
        <v>146</v>
      </c>
      <c r="U27" s="133" t="s">
        <v>146</v>
      </c>
      <c r="V27" s="133" t="s">
        <v>146</v>
      </c>
      <c r="W27" s="133" t="s">
        <v>146</v>
      </c>
      <c r="X27" s="133" t="s">
        <v>146</v>
      </c>
      <c r="Y27" s="133" t="s">
        <v>146</v>
      </c>
      <c r="Z27" s="133" t="s">
        <v>146</v>
      </c>
      <c r="AA27" s="133" t="s">
        <v>146</v>
      </c>
      <c r="AB27" s="133" t="s">
        <v>163</v>
      </c>
    </row>
    <row r="28" spans="1:28">
      <c r="A28" t="s">
        <v>214</v>
      </c>
      <c r="B28" s="132">
        <v>44613</v>
      </c>
      <c r="C28" s="133" t="s">
        <v>215</v>
      </c>
      <c r="D28" s="133" t="s">
        <v>146</v>
      </c>
      <c r="E28" s="133" t="s">
        <v>146</v>
      </c>
      <c r="F28" s="133" t="s">
        <v>154</v>
      </c>
      <c r="G28" s="133" t="s">
        <v>9</v>
      </c>
      <c r="H28" s="133" t="s">
        <v>146</v>
      </c>
      <c r="I28" s="133">
        <v>4</v>
      </c>
      <c r="J28" s="133" t="s">
        <v>146</v>
      </c>
      <c r="K28" s="133" t="s">
        <v>146</v>
      </c>
      <c r="L28" s="133" t="s">
        <v>146</v>
      </c>
      <c r="M28" s="133" t="s">
        <v>146</v>
      </c>
      <c r="N28" s="133" t="s">
        <v>146</v>
      </c>
      <c r="P28" s="133" t="s">
        <v>161</v>
      </c>
      <c r="Q28" s="133" t="s">
        <v>146</v>
      </c>
      <c r="R28" s="133" t="s">
        <v>146</v>
      </c>
      <c r="S28" s="133" t="s">
        <v>146</v>
      </c>
      <c r="T28" s="133" t="s">
        <v>146</v>
      </c>
      <c r="U28" s="133" t="s">
        <v>146</v>
      </c>
      <c r="V28" s="133" t="s">
        <v>146</v>
      </c>
      <c r="W28" s="133" t="s">
        <v>146</v>
      </c>
      <c r="X28" s="133" t="s">
        <v>146</v>
      </c>
      <c r="Y28" s="133" t="s">
        <v>146</v>
      </c>
      <c r="Z28" s="133" t="s">
        <v>146</v>
      </c>
      <c r="AA28" s="133" t="s">
        <v>146</v>
      </c>
      <c r="AB28" s="133" t="s">
        <v>163</v>
      </c>
    </row>
    <row r="29" spans="1:28">
      <c r="A29" t="s">
        <v>216</v>
      </c>
      <c r="B29" s="132">
        <v>44613</v>
      </c>
      <c r="C29" s="133" t="s">
        <v>217</v>
      </c>
      <c r="D29" s="133" t="s">
        <v>146</v>
      </c>
      <c r="E29" s="133" t="s">
        <v>146</v>
      </c>
      <c r="F29" s="133" t="s">
        <v>147</v>
      </c>
      <c r="G29" s="133" t="s">
        <v>9</v>
      </c>
      <c r="H29" s="133" t="s">
        <v>146</v>
      </c>
      <c r="I29" s="133">
        <v>4</v>
      </c>
      <c r="J29" s="133" t="s">
        <v>146</v>
      </c>
      <c r="K29" s="133" t="s">
        <v>146</v>
      </c>
      <c r="L29" s="133" t="s">
        <v>146</v>
      </c>
      <c r="M29" s="133" t="s">
        <v>146</v>
      </c>
      <c r="N29" s="133" t="s">
        <v>146</v>
      </c>
      <c r="P29" s="133" t="s">
        <v>161</v>
      </c>
      <c r="Q29" s="133" t="s">
        <v>146</v>
      </c>
      <c r="R29" s="133" t="s">
        <v>146</v>
      </c>
      <c r="S29" s="133" t="s">
        <v>146</v>
      </c>
      <c r="T29" s="133" t="s">
        <v>146</v>
      </c>
      <c r="U29" s="133" t="s">
        <v>146</v>
      </c>
      <c r="V29" s="133" t="s">
        <v>146</v>
      </c>
      <c r="W29" s="133" t="s">
        <v>146</v>
      </c>
      <c r="X29" s="133" t="s">
        <v>146</v>
      </c>
      <c r="Y29" s="133" t="s">
        <v>146</v>
      </c>
      <c r="Z29" s="133" t="s">
        <v>146</v>
      </c>
      <c r="AA29" s="133" t="s">
        <v>146</v>
      </c>
      <c r="AB29" s="133" t="s">
        <v>163</v>
      </c>
    </row>
    <row r="30" spans="1:28">
      <c r="A30" t="s">
        <v>218</v>
      </c>
      <c r="B30" s="132">
        <v>44613</v>
      </c>
      <c r="C30" s="133" t="s">
        <v>219</v>
      </c>
      <c r="D30" s="133" t="s">
        <v>146</v>
      </c>
      <c r="E30" s="133" t="s">
        <v>146</v>
      </c>
      <c r="F30" s="133" t="s">
        <v>154</v>
      </c>
      <c r="G30" s="133" t="s">
        <v>9</v>
      </c>
      <c r="H30" s="133" t="s">
        <v>146</v>
      </c>
      <c r="I30" s="133">
        <v>5</v>
      </c>
      <c r="J30" s="133" t="s">
        <v>146</v>
      </c>
      <c r="K30" s="133" t="s">
        <v>146</v>
      </c>
      <c r="L30" s="133" t="s">
        <v>146</v>
      </c>
      <c r="M30" s="133" t="s">
        <v>146</v>
      </c>
      <c r="N30" s="133" t="s">
        <v>146</v>
      </c>
      <c r="P30" s="133" t="s">
        <v>161</v>
      </c>
      <c r="Q30" s="133" t="s">
        <v>146</v>
      </c>
      <c r="R30" s="133" t="s">
        <v>146</v>
      </c>
      <c r="S30" s="133" t="s">
        <v>146</v>
      </c>
      <c r="T30" s="133" t="s">
        <v>146</v>
      </c>
      <c r="U30" s="133" t="s">
        <v>146</v>
      </c>
      <c r="V30" s="133" t="s">
        <v>146</v>
      </c>
      <c r="W30" s="133" t="s">
        <v>146</v>
      </c>
      <c r="X30" s="133" t="s">
        <v>146</v>
      </c>
      <c r="Y30" s="133" t="s">
        <v>146</v>
      </c>
      <c r="Z30" s="133" t="s">
        <v>146</v>
      </c>
      <c r="AA30" s="133" t="s">
        <v>146</v>
      </c>
      <c r="AB30" s="133" t="s">
        <v>163</v>
      </c>
    </row>
    <row r="31" spans="1:28">
      <c r="A31" t="s">
        <v>220</v>
      </c>
      <c r="B31" s="132">
        <v>44613</v>
      </c>
      <c r="C31" s="133" t="s">
        <v>221</v>
      </c>
      <c r="D31" s="133" t="s">
        <v>146</v>
      </c>
      <c r="E31" s="133" t="s">
        <v>146</v>
      </c>
      <c r="F31" s="133" t="s">
        <v>147</v>
      </c>
      <c r="G31" s="133" t="s">
        <v>9</v>
      </c>
      <c r="H31" s="133" t="s">
        <v>146</v>
      </c>
      <c r="I31" s="133">
        <v>5</v>
      </c>
      <c r="J31" s="133" t="s">
        <v>146</v>
      </c>
      <c r="K31" s="133" t="s">
        <v>146</v>
      </c>
      <c r="L31" s="133" t="s">
        <v>146</v>
      </c>
      <c r="M31" s="133" t="s">
        <v>146</v>
      </c>
      <c r="N31" s="133" t="s">
        <v>146</v>
      </c>
      <c r="P31" s="133" t="s">
        <v>161</v>
      </c>
      <c r="Q31" s="133" t="s">
        <v>146</v>
      </c>
      <c r="R31" s="133" t="s">
        <v>146</v>
      </c>
      <c r="S31" s="133" t="s">
        <v>146</v>
      </c>
      <c r="T31" s="133" t="s">
        <v>146</v>
      </c>
      <c r="U31" s="133" t="s">
        <v>146</v>
      </c>
      <c r="V31" s="133" t="s">
        <v>146</v>
      </c>
      <c r="W31" s="133" t="s">
        <v>146</v>
      </c>
      <c r="X31" s="133" t="s">
        <v>146</v>
      </c>
      <c r="Y31" s="133" t="s">
        <v>146</v>
      </c>
      <c r="Z31" s="133" t="s">
        <v>146</v>
      </c>
      <c r="AA31" s="133" t="s">
        <v>146</v>
      </c>
      <c r="AB31" s="133" t="s">
        <v>163</v>
      </c>
    </row>
    <row r="32" spans="1:28">
      <c r="A32" t="s">
        <v>222</v>
      </c>
      <c r="B32" s="132">
        <v>44613</v>
      </c>
      <c r="C32" s="133" t="s">
        <v>223</v>
      </c>
      <c r="D32" s="133" t="s">
        <v>146</v>
      </c>
      <c r="E32" s="133" t="s">
        <v>146</v>
      </c>
      <c r="F32" s="133" t="s">
        <v>154</v>
      </c>
      <c r="G32" s="133" t="s">
        <v>9</v>
      </c>
      <c r="H32" s="133" t="s">
        <v>146</v>
      </c>
      <c r="I32" s="133">
        <v>5</v>
      </c>
      <c r="J32" s="133" t="s">
        <v>146</v>
      </c>
      <c r="K32" s="133" t="s">
        <v>146</v>
      </c>
      <c r="L32" s="133" t="s">
        <v>146</v>
      </c>
      <c r="M32" s="133" t="s">
        <v>146</v>
      </c>
      <c r="N32" s="133" t="s">
        <v>146</v>
      </c>
      <c r="P32" s="133" t="s">
        <v>161</v>
      </c>
      <c r="Q32" s="133" t="s">
        <v>146</v>
      </c>
      <c r="R32" s="133" t="s">
        <v>146</v>
      </c>
      <c r="S32" s="133" t="s">
        <v>146</v>
      </c>
      <c r="T32" s="133" t="s">
        <v>146</v>
      </c>
      <c r="U32" s="133" t="s">
        <v>146</v>
      </c>
      <c r="V32" s="133" t="s">
        <v>146</v>
      </c>
      <c r="W32" s="133" t="s">
        <v>146</v>
      </c>
      <c r="X32" s="133" t="s">
        <v>146</v>
      </c>
      <c r="Y32" s="133" t="s">
        <v>146</v>
      </c>
      <c r="Z32" s="133" t="s">
        <v>146</v>
      </c>
      <c r="AA32" s="133" t="s">
        <v>146</v>
      </c>
      <c r="AB32" s="133" t="s">
        <v>163</v>
      </c>
    </row>
    <row r="33" spans="1:28">
      <c r="A33" t="s">
        <v>224</v>
      </c>
      <c r="B33" s="132">
        <v>44613</v>
      </c>
      <c r="C33" s="133" t="s">
        <v>225</v>
      </c>
      <c r="D33" s="133" t="s">
        <v>146</v>
      </c>
      <c r="E33" s="133" t="s">
        <v>146</v>
      </c>
      <c r="F33" s="133" t="s">
        <v>154</v>
      </c>
      <c r="G33" s="133" t="s">
        <v>9</v>
      </c>
      <c r="H33" s="133" t="s">
        <v>146</v>
      </c>
      <c r="I33" s="133">
        <v>5</v>
      </c>
      <c r="J33" s="133" t="s">
        <v>146</v>
      </c>
      <c r="K33" s="133" t="s">
        <v>146</v>
      </c>
      <c r="L33" s="133" t="s">
        <v>146</v>
      </c>
      <c r="M33" s="133" t="s">
        <v>146</v>
      </c>
      <c r="N33" s="133" t="s">
        <v>146</v>
      </c>
      <c r="P33" s="133" t="s">
        <v>161</v>
      </c>
      <c r="Q33" s="133" t="s">
        <v>146</v>
      </c>
      <c r="R33" s="133" t="s">
        <v>146</v>
      </c>
      <c r="S33" s="133" t="s">
        <v>146</v>
      </c>
      <c r="T33" s="133" t="s">
        <v>146</v>
      </c>
      <c r="U33" s="133" t="s">
        <v>146</v>
      </c>
      <c r="V33" s="133" t="s">
        <v>146</v>
      </c>
      <c r="W33" s="133" t="s">
        <v>146</v>
      </c>
      <c r="X33" s="133" t="s">
        <v>146</v>
      </c>
      <c r="Y33" s="133" t="s">
        <v>146</v>
      </c>
      <c r="Z33" s="133" t="s">
        <v>146</v>
      </c>
      <c r="AA33" s="133" t="s">
        <v>146</v>
      </c>
      <c r="AB33" s="133" t="s">
        <v>163</v>
      </c>
    </row>
    <row r="34" spans="1:28">
      <c r="A34" t="s">
        <v>226</v>
      </c>
      <c r="B34" s="132">
        <v>44613</v>
      </c>
      <c r="C34" s="133" t="s">
        <v>227</v>
      </c>
      <c r="D34" s="133" t="s">
        <v>146</v>
      </c>
      <c r="E34" s="133" t="s">
        <v>146</v>
      </c>
      <c r="F34" s="133" t="s">
        <v>147</v>
      </c>
      <c r="G34" s="133" t="s">
        <v>9</v>
      </c>
      <c r="H34" s="133" t="s">
        <v>146</v>
      </c>
      <c r="I34" s="133">
        <v>5</v>
      </c>
      <c r="J34" s="133" t="s">
        <v>146</v>
      </c>
      <c r="K34" s="133" t="s">
        <v>146</v>
      </c>
      <c r="L34" s="133" t="s">
        <v>146</v>
      </c>
      <c r="M34" s="133" t="s">
        <v>146</v>
      </c>
      <c r="N34" s="133" t="s">
        <v>146</v>
      </c>
      <c r="P34" s="133" t="s">
        <v>161</v>
      </c>
      <c r="Q34" s="133" t="s">
        <v>146</v>
      </c>
      <c r="R34" s="133" t="s">
        <v>146</v>
      </c>
      <c r="S34" s="133" t="s">
        <v>146</v>
      </c>
      <c r="T34" s="133" t="s">
        <v>146</v>
      </c>
      <c r="U34" s="133" t="s">
        <v>146</v>
      </c>
      <c r="V34" s="133" t="s">
        <v>146</v>
      </c>
      <c r="W34" s="133" t="s">
        <v>146</v>
      </c>
      <c r="X34" s="133" t="s">
        <v>146</v>
      </c>
      <c r="Y34" s="133" t="s">
        <v>146</v>
      </c>
      <c r="Z34" s="133" t="s">
        <v>146</v>
      </c>
      <c r="AA34" s="133" t="s">
        <v>146</v>
      </c>
      <c r="AB34" s="133" t="s">
        <v>163</v>
      </c>
    </row>
    <row r="35" spans="1:28">
      <c r="A35" t="s">
        <v>228</v>
      </c>
      <c r="B35" s="132">
        <v>44613</v>
      </c>
      <c r="C35" s="133" t="s">
        <v>229</v>
      </c>
      <c r="D35" s="133" t="s">
        <v>146</v>
      </c>
      <c r="E35" s="133" t="s">
        <v>146</v>
      </c>
      <c r="F35" s="133" t="s">
        <v>154</v>
      </c>
      <c r="G35" s="133" t="s">
        <v>9</v>
      </c>
      <c r="H35" s="133" t="s">
        <v>146</v>
      </c>
      <c r="I35" s="133">
        <v>5</v>
      </c>
      <c r="J35" s="133" t="s">
        <v>146</v>
      </c>
      <c r="K35" s="133" t="s">
        <v>146</v>
      </c>
      <c r="L35" s="133" t="s">
        <v>146</v>
      </c>
      <c r="M35" s="133" t="s">
        <v>146</v>
      </c>
      <c r="N35" s="133" t="s">
        <v>146</v>
      </c>
      <c r="P35" s="133" t="s">
        <v>161</v>
      </c>
      <c r="Q35" s="133" t="s">
        <v>146</v>
      </c>
      <c r="R35" s="133" t="s">
        <v>146</v>
      </c>
      <c r="S35" s="133" t="s">
        <v>146</v>
      </c>
      <c r="T35" s="133" t="s">
        <v>146</v>
      </c>
      <c r="U35" s="133" t="s">
        <v>146</v>
      </c>
      <c r="V35" s="133" t="s">
        <v>146</v>
      </c>
      <c r="W35" s="133" t="s">
        <v>146</v>
      </c>
      <c r="X35" s="133" t="s">
        <v>146</v>
      </c>
      <c r="Y35" s="133" t="s">
        <v>146</v>
      </c>
      <c r="Z35" s="133" t="s">
        <v>146</v>
      </c>
      <c r="AA35" s="133" t="s">
        <v>146</v>
      </c>
      <c r="AB35" s="133" t="s">
        <v>163</v>
      </c>
    </row>
    <row r="36" spans="1:28">
      <c r="A36" t="s">
        <v>230</v>
      </c>
      <c r="B36" s="132">
        <v>44613</v>
      </c>
      <c r="C36" s="133" t="s">
        <v>231</v>
      </c>
      <c r="D36" s="133" t="s">
        <v>146</v>
      </c>
      <c r="E36" s="133" t="s">
        <v>146</v>
      </c>
      <c r="F36" s="133" t="s">
        <v>154</v>
      </c>
      <c r="G36" s="133" t="s">
        <v>9</v>
      </c>
      <c r="H36" s="133" t="s">
        <v>146</v>
      </c>
      <c r="I36" s="133">
        <v>5</v>
      </c>
      <c r="J36" s="133" t="s">
        <v>146</v>
      </c>
      <c r="K36" s="133" t="s">
        <v>146</v>
      </c>
      <c r="L36" s="133" t="s">
        <v>146</v>
      </c>
      <c r="M36" s="133" t="s">
        <v>146</v>
      </c>
      <c r="N36" s="133" t="s">
        <v>146</v>
      </c>
      <c r="P36" s="133" t="s">
        <v>161</v>
      </c>
      <c r="Q36" s="133" t="s">
        <v>146</v>
      </c>
      <c r="R36" s="133" t="s">
        <v>146</v>
      </c>
      <c r="S36" s="133" t="s">
        <v>146</v>
      </c>
      <c r="T36" s="133" t="s">
        <v>146</v>
      </c>
      <c r="U36" s="133" t="s">
        <v>146</v>
      </c>
      <c r="V36" s="133" t="s">
        <v>146</v>
      </c>
      <c r="W36" s="133" t="s">
        <v>146</v>
      </c>
      <c r="X36" s="133" t="s">
        <v>146</v>
      </c>
      <c r="Y36" s="133" t="s">
        <v>146</v>
      </c>
      <c r="Z36" s="133" t="s">
        <v>146</v>
      </c>
      <c r="AA36" s="133" t="s">
        <v>146</v>
      </c>
      <c r="AB36" s="133" t="s">
        <v>163</v>
      </c>
    </row>
    <row r="37" spans="1:28">
      <c r="A37" t="s">
        <v>232</v>
      </c>
      <c r="B37" s="132">
        <v>44613</v>
      </c>
      <c r="C37" s="133" t="s">
        <v>233</v>
      </c>
      <c r="D37" s="133" t="s">
        <v>146</v>
      </c>
      <c r="E37" s="133" t="s">
        <v>146</v>
      </c>
      <c r="F37" s="133" t="s">
        <v>154</v>
      </c>
      <c r="G37" s="133" t="s">
        <v>9</v>
      </c>
      <c r="H37" s="133" t="s">
        <v>146</v>
      </c>
      <c r="I37" s="133">
        <v>5</v>
      </c>
      <c r="J37" s="133" t="s">
        <v>146</v>
      </c>
      <c r="K37" s="133" t="s">
        <v>146</v>
      </c>
      <c r="L37" s="133" t="s">
        <v>146</v>
      </c>
      <c r="M37" s="133" t="s">
        <v>146</v>
      </c>
      <c r="N37" s="133" t="s">
        <v>146</v>
      </c>
      <c r="P37" s="133" t="s">
        <v>161</v>
      </c>
      <c r="Q37" s="133" t="s">
        <v>146</v>
      </c>
      <c r="R37" s="133" t="s">
        <v>146</v>
      </c>
      <c r="S37" s="133" t="s">
        <v>146</v>
      </c>
      <c r="T37" s="133" t="s">
        <v>146</v>
      </c>
      <c r="U37" s="133" t="s">
        <v>146</v>
      </c>
      <c r="V37" s="133" t="s">
        <v>146</v>
      </c>
      <c r="W37" s="133" t="s">
        <v>146</v>
      </c>
      <c r="X37" s="133" t="s">
        <v>146</v>
      </c>
      <c r="Y37" s="133" t="s">
        <v>146</v>
      </c>
      <c r="Z37" s="133" t="s">
        <v>146</v>
      </c>
      <c r="AA37" s="133" t="s">
        <v>146</v>
      </c>
      <c r="AB37" s="133" t="s">
        <v>163</v>
      </c>
    </row>
    <row r="38" spans="1:28">
      <c r="A38" t="s">
        <v>234</v>
      </c>
      <c r="B38" s="132">
        <v>44613</v>
      </c>
      <c r="C38" s="133" t="s">
        <v>235</v>
      </c>
      <c r="D38" s="133" t="s">
        <v>146</v>
      </c>
      <c r="E38" s="133" t="s">
        <v>146</v>
      </c>
      <c r="F38" s="133" t="s">
        <v>154</v>
      </c>
      <c r="G38" s="133" t="s">
        <v>9</v>
      </c>
      <c r="H38" s="133" t="s">
        <v>146</v>
      </c>
      <c r="I38" s="133">
        <v>5</v>
      </c>
      <c r="J38" s="133" t="s">
        <v>146</v>
      </c>
      <c r="K38" s="133" t="s">
        <v>146</v>
      </c>
      <c r="L38" s="133" t="s">
        <v>146</v>
      </c>
      <c r="M38" s="133" t="s">
        <v>146</v>
      </c>
      <c r="N38" s="133" t="s">
        <v>146</v>
      </c>
      <c r="P38" s="133" t="s">
        <v>161</v>
      </c>
      <c r="Q38" s="133" t="s">
        <v>146</v>
      </c>
      <c r="R38" s="133" t="s">
        <v>146</v>
      </c>
      <c r="S38" s="133" t="s">
        <v>146</v>
      </c>
      <c r="T38" s="133" t="s">
        <v>146</v>
      </c>
      <c r="U38" s="133" t="s">
        <v>146</v>
      </c>
      <c r="V38" s="133" t="s">
        <v>146</v>
      </c>
      <c r="W38" s="133" t="s">
        <v>146</v>
      </c>
      <c r="X38" s="133" t="s">
        <v>146</v>
      </c>
      <c r="Y38" s="133" t="s">
        <v>146</v>
      </c>
      <c r="Z38" s="133" t="s">
        <v>146</v>
      </c>
      <c r="AA38" s="133" t="s">
        <v>146</v>
      </c>
      <c r="AB38" s="133" t="s">
        <v>163</v>
      </c>
    </row>
    <row r="39" spans="1:28">
      <c r="A39" t="s">
        <v>236</v>
      </c>
      <c r="B39" s="132">
        <v>44613</v>
      </c>
      <c r="C39" s="133" t="s">
        <v>146</v>
      </c>
      <c r="D39" s="133" t="s">
        <v>146</v>
      </c>
      <c r="E39" s="133" t="s">
        <v>146</v>
      </c>
      <c r="F39" s="133" t="s">
        <v>147</v>
      </c>
      <c r="G39" s="133" t="s">
        <v>10</v>
      </c>
      <c r="H39" s="133" t="s">
        <v>146</v>
      </c>
      <c r="I39" s="133" t="s">
        <v>146</v>
      </c>
      <c r="J39" s="133" t="s">
        <v>146</v>
      </c>
      <c r="K39" s="133" t="s">
        <v>146</v>
      </c>
      <c r="L39" s="133" t="s">
        <v>146</v>
      </c>
      <c r="M39" s="133" t="s">
        <v>146</v>
      </c>
      <c r="N39" s="133" t="s">
        <v>146</v>
      </c>
      <c r="O39" s="133" t="s">
        <v>237</v>
      </c>
      <c r="P39" s="133" t="s">
        <v>176</v>
      </c>
      <c r="Q39" s="133" t="s">
        <v>146</v>
      </c>
      <c r="R39" s="133" t="s">
        <v>146</v>
      </c>
      <c r="S39" s="133" t="s">
        <v>146</v>
      </c>
      <c r="T39" s="133" t="s">
        <v>146</v>
      </c>
      <c r="U39" s="133" t="s">
        <v>146</v>
      </c>
      <c r="V39" s="133" t="s">
        <v>146</v>
      </c>
      <c r="W39" s="133" t="s">
        <v>146</v>
      </c>
      <c r="X39" s="133" t="s">
        <v>146</v>
      </c>
      <c r="Y39" s="133" t="s">
        <v>146</v>
      </c>
      <c r="Z39" s="133" t="s">
        <v>146</v>
      </c>
      <c r="AA39" s="133" t="s">
        <v>146</v>
      </c>
      <c r="AB39" s="133" t="s">
        <v>146</v>
      </c>
    </row>
    <row r="40" spans="1:28">
      <c r="I40" s="133"/>
    </row>
  </sheetData>
  <phoneticPr fontId="1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D4FE-5F49-48F5-B7EE-2F43D5C0078B}">
  <dimension ref="A1:G21"/>
  <sheetViews>
    <sheetView workbookViewId="0">
      <selection activeCell="L23" sqref="L23"/>
    </sheetView>
  </sheetViews>
  <sheetFormatPr defaultRowHeight="14.45"/>
  <cols>
    <col min="1" max="1" width="9.7109375" style="117" bestFit="1" customWidth="1"/>
    <col min="2" max="7" width="9.140625" style="133"/>
  </cols>
  <sheetData>
    <row r="1" spans="1:7" s="112" customFormat="1" ht="13.9" thickBot="1">
      <c r="A1" s="134" t="s">
        <v>2</v>
      </c>
      <c r="B1" s="108" t="s">
        <v>238</v>
      </c>
      <c r="C1" s="109" t="s">
        <v>239</v>
      </c>
      <c r="D1" s="109" t="s">
        <v>240</v>
      </c>
      <c r="E1" s="109" t="s">
        <v>241</v>
      </c>
      <c r="F1" s="110" t="s">
        <v>11</v>
      </c>
      <c r="G1" s="111" t="s">
        <v>45</v>
      </c>
    </row>
    <row r="2" spans="1:7">
      <c r="A2" s="117" cm="1">
        <f t="array" ref="A2:A3">IF(_xlfn.UNIQUE(Trapside!B5:B1005,FALSE,FALSE)&gt;1/1/2022,_xlfn.UNIQUE(Trapside!B5:B1005,FALSE,FALSE),"")</f>
        <v>44613</v>
      </c>
      <c r="B2" s="133">
        <f>IF(A2&lt;&gt;"",COUNTIFS(Trapside!F:F,"M",Trapside!G:G,"A",Trapside!P:P,"SLAUGHTER"),"")</f>
        <v>5</v>
      </c>
      <c r="C2" s="133">
        <f>IF(A2&lt;&gt;"",COUNTIFS(Trapside!F:F,"M",Trapside!G:G,"Y",Trapside!P:P,"SLAUGHTER"),"")</f>
        <v>2</v>
      </c>
      <c r="D2" s="133">
        <f>IF(A2&lt;&gt;"",COUNTIFS(Trapside!F:F,"F",Trapside!G:G,"A",Trapside!P:P,"SLAUGHTER"),"")</f>
        <v>20</v>
      </c>
      <c r="E2" s="133">
        <f>IF(A2&lt;&gt;"",COUNTIFS(Trapside!F:F,"F",Trapside!G:G,"Y",Trapside!P:P,"SLAUGHTER"),"")</f>
        <v>0</v>
      </c>
      <c r="F2" s="133">
        <f>IF(A2&lt;&gt;"",COUNTIFS(Trapside!G:G,"C",Trapside!P:P,"SLAUGHTER"),"")</f>
        <v>0</v>
      </c>
      <c r="G2" s="133">
        <f>IF(A2&lt;&gt;"",SUM(B2:F2),"")</f>
        <v>27</v>
      </c>
    </row>
    <row r="3" spans="1:7">
      <c r="A3" s="117" t="str">
        <v/>
      </c>
      <c r="B3" s="133" t="str">
        <f>IF(A3&lt;&gt;"",COUNTIFS(Trapside!F:F,"M",Trapside!G:G,"A",Trapside!P:P,"SLAUGHTER"),"")</f>
        <v/>
      </c>
      <c r="C3" s="133" t="str">
        <f>IF(A3&lt;&gt;"",COUNTIFS(Trapside!F:F,"M",Trapside!G:G,"Y",Trapside!P:P,"SLAUGHTER"),"")</f>
        <v/>
      </c>
      <c r="D3" s="133" t="str">
        <f>IF(A3&lt;&gt;"",COUNTIFS(Trapside!F:F,"F",Trapside!G:G,"A",Trapside!P:P,"SLAUGHTER"),"")</f>
        <v/>
      </c>
      <c r="E3" s="133" t="str">
        <f>IF(A3&lt;&gt;"",COUNTIFS(Trapside!F:F,"F",Trapside!G:G,"Y",Trapside!P:P,"SLAUGHTER"),"")</f>
        <v/>
      </c>
      <c r="F3" s="133" t="str">
        <f>IF(A3&lt;&gt;"",COUNTIFS(Trapside!G:G,"C",Trapside!P:P,"SLAUGHTER"),"")</f>
        <v/>
      </c>
      <c r="G3" s="133" t="str">
        <f t="shared" ref="G3:G21" si="0">IF(A3&lt;&gt;"",SUM(B3:F3),"")</f>
        <v/>
      </c>
    </row>
    <row r="4" spans="1:7">
      <c r="B4" s="133" t="str">
        <f>IF(A4&lt;&gt;"",COUNTIFS(Trapside!F:F,"M",Trapside!G:G,"A",Trapside!P:P,"SLAUGHTER"),"")</f>
        <v/>
      </c>
      <c r="C4" s="133" t="str">
        <f>IF(A4&lt;&gt;"",COUNTIFS(Trapside!F:F,"M",Trapside!G:G,"Y",Trapside!P:P,"SLAUGHTER"),"")</f>
        <v/>
      </c>
      <c r="D4" s="133" t="str">
        <f>IF(A4&lt;&gt;"",COUNTIFS(Trapside!F:F,"F",Trapside!G:G,"A",Trapside!P:P,"SLAUGHTER"),"")</f>
        <v/>
      </c>
      <c r="E4" s="133" t="str">
        <f>IF(A4&lt;&gt;"",COUNTIFS(Trapside!F:F,"F",Trapside!G:G,"Y",Trapside!P:P,"SLAUGHTER"),"")</f>
        <v/>
      </c>
      <c r="F4" s="133" t="str">
        <f>IF(A4&lt;&gt;"",COUNTIFS(Trapside!G:G,"C",Trapside!P:P,"SLAUGHTER"),"")</f>
        <v/>
      </c>
      <c r="G4" s="133" t="str">
        <f t="shared" si="0"/>
        <v/>
      </c>
    </row>
    <row r="5" spans="1:7">
      <c r="B5" s="133" t="str">
        <f>IF(A5&lt;&gt;"",COUNTIFS(Trapside!F:F,"M",Trapside!G:G,"A",Trapside!P:P,"SLAUGHTER"),"")</f>
        <v/>
      </c>
      <c r="C5" s="133" t="str">
        <f>IF(A5&lt;&gt;"",COUNTIFS(Trapside!F:F,"M",Trapside!G:G,"Y",Trapside!P:P,"SLAUGHTER"),"")</f>
        <v/>
      </c>
      <c r="D5" s="133" t="str">
        <f>IF(A5&lt;&gt;"",COUNTIFS(Trapside!F:F,"F",Trapside!G:G,"A",Trapside!P:P,"SLAUGHTER"),"")</f>
        <v/>
      </c>
      <c r="E5" s="133" t="str">
        <f>IF(A5&lt;&gt;"",COUNTIFS(Trapside!F:F,"F",Trapside!G:G,"Y",Trapside!P:P,"SLAUGHTER"),"")</f>
        <v/>
      </c>
      <c r="F5" s="133" t="str">
        <f>IF(A5&lt;&gt;"",COUNTIFS(Trapside!G:G,"C",Trapside!P:P,"SLAUGHTER"),"")</f>
        <v/>
      </c>
      <c r="G5" s="133" t="str">
        <f t="shared" si="0"/>
        <v/>
      </c>
    </row>
    <row r="6" spans="1:7">
      <c r="B6" s="133" t="str">
        <f>IF(A6&lt;&gt;"",COUNTIFS(Trapside!F:F,"M",Trapside!G:G,"A",Trapside!P:P,"SLAUGHTER"),"")</f>
        <v/>
      </c>
      <c r="C6" s="133" t="str">
        <f>IF(A6&lt;&gt;"",COUNTIFS(Trapside!F:F,"M",Trapside!G:G,"Y",Trapside!P:P,"SLAUGHTER"),"")</f>
        <v/>
      </c>
      <c r="D6" s="133" t="str">
        <f>IF(A6&lt;&gt;"",COUNTIFS(Trapside!F:F,"F",Trapside!G:G,"A",Trapside!P:P,"SLAUGHTER"),"")</f>
        <v/>
      </c>
      <c r="E6" s="133" t="str">
        <f>IF(A6&lt;&gt;"",COUNTIFS(Trapside!F:F,"F",Trapside!G:G,"Y",Trapside!P:P,"SLAUGHTER"),"")</f>
        <v/>
      </c>
      <c r="F6" s="133" t="str">
        <f>IF(A6&lt;&gt;"",COUNTIFS(Trapside!G:G,"C",Trapside!P:P,"SLAUGHTER"),"")</f>
        <v/>
      </c>
      <c r="G6" s="133" t="str">
        <f t="shared" si="0"/>
        <v/>
      </c>
    </row>
    <row r="7" spans="1:7">
      <c r="B7" s="133" t="str">
        <f>IF(A7&lt;&gt;"",COUNTIFS(Trapside!F:F,"M",Trapside!G:G,"A",Trapside!P:P,"SLAUGHTER"),"")</f>
        <v/>
      </c>
      <c r="C7" s="133" t="str">
        <f>IF(A7&lt;&gt;"",COUNTIFS(Trapside!F:F,"M",Trapside!G:G,"Y",Trapside!P:P,"SLAUGHTER"),"")</f>
        <v/>
      </c>
      <c r="D7" s="133" t="str">
        <f>IF(A7&lt;&gt;"",COUNTIFS(Trapside!F:F,"F",Trapside!G:G,"A",Trapside!P:P,"SLAUGHTER"),"")</f>
        <v/>
      </c>
      <c r="E7" s="133" t="str">
        <f>IF(A7&lt;&gt;"",COUNTIFS(Trapside!F:F,"F",Trapside!G:G,"Y",Trapside!P:P,"SLAUGHTER"),"")</f>
        <v/>
      </c>
      <c r="F7" s="133" t="str">
        <f>IF(A7&lt;&gt;"",COUNTIFS(Trapside!G:G,"C",Trapside!P:P,"SLAUGHTER"),"")</f>
        <v/>
      </c>
      <c r="G7" s="133" t="str">
        <f t="shared" si="0"/>
        <v/>
      </c>
    </row>
    <row r="8" spans="1:7">
      <c r="B8" s="133" t="str">
        <f>IF(A8&lt;&gt;"",COUNTIFS(Trapside!F:F,"M",Trapside!G:G,"A",Trapside!P:P,"SLAUGHTER"),"")</f>
        <v/>
      </c>
      <c r="C8" s="133" t="str">
        <f>IF(A8&lt;&gt;"",COUNTIFS(Trapside!F:F,"M",Trapside!G:G,"Y",Trapside!P:P,"SLAUGHTER"),"")</f>
        <v/>
      </c>
      <c r="D8" s="133" t="str">
        <f>IF(A8&lt;&gt;"",COUNTIFS(Trapside!F:F,"F",Trapside!G:G,"A",Trapside!P:P,"SLAUGHTER"),"")</f>
        <v/>
      </c>
      <c r="E8" s="133" t="str">
        <f>IF(A8&lt;&gt;"",COUNTIFS(Trapside!F:F,"F",Trapside!G:G,"Y",Trapside!P:P,"SLAUGHTER"),"")</f>
        <v/>
      </c>
      <c r="F8" s="133" t="str">
        <f>IF(A8&lt;&gt;"",COUNTIFS(Trapside!G:G,"C",Trapside!P:P,"SLAUGHTER"),"")</f>
        <v/>
      </c>
      <c r="G8" s="133" t="str">
        <f t="shared" si="0"/>
        <v/>
      </c>
    </row>
    <row r="9" spans="1:7">
      <c r="B9" s="133" t="str">
        <f>IF(A9&lt;&gt;"",COUNTIFS(Trapside!F:F,"M",Trapside!G:G,"A",Trapside!P:P,"SLAUGHTER"),"")</f>
        <v/>
      </c>
      <c r="C9" s="133" t="str">
        <f>IF(A9&lt;&gt;"",COUNTIFS(Trapside!F:F,"M",Trapside!G:G,"Y",Trapside!P:P,"SLAUGHTER"),"")</f>
        <v/>
      </c>
      <c r="D9" s="133" t="str">
        <f>IF(A9&lt;&gt;"",COUNTIFS(Trapside!F:F,"F",Trapside!G:G,"A",Trapside!P:P,"SLAUGHTER"),"")</f>
        <v/>
      </c>
      <c r="E9" s="133" t="str">
        <f>IF(A9&lt;&gt;"",COUNTIFS(Trapside!F:F,"F",Trapside!G:G,"Y",Trapside!P:P,"SLAUGHTER"),"")</f>
        <v/>
      </c>
      <c r="F9" s="133" t="str">
        <f>IF(A9&lt;&gt;"",COUNTIFS(Trapside!G:G,"C",Trapside!P:P,"SLAUGHTER"),"")</f>
        <v/>
      </c>
      <c r="G9" s="133" t="str">
        <f t="shared" si="0"/>
        <v/>
      </c>
    </row>
    <row r="10" spans="1:7">
      <c r="B10" s="133" t="str">
        <f>IF(A10&lt;&gt;"",COUNTIFS(Trapside!F:F,"M",Trapside!G:G,"A",Trapside!P:P,"SLAUGHTER"),"")</f>
        <v/>
      </c>
      <c r="C10" s="133" t="str">
        <f>IF(A10&lt;&gt;"",COUNTIFS(Trapside!F:F,"M",Trapside!G:G,"Y",Trapside!P:P,"SLAUGHTER"),"")</f>
        <v/>
      </c>
      <c r="D10" s="133" t="str">
        <f>IF(A10&lt;&gt;"",COUNTIFS(Trapside!F:F,"F",Trapside!G:G,"A",Trapside!P:P,"SLAUGHTER"),"")</f>
        <v/>
      </c>
      <c r="E10" s="133" t="str">
        <f>IF(A10&lt;&gt;"",COUNTIFS(Trapside!F:F,"F",Trapside!G:G,"Y",Trapside!P:P,"SLAUGHTER"),"")</f>
        <v/>
      </c>
      <c r="F10" s="133" t="str">
        <f>IF(A10&lt;&gt;"",COUNTIFS(Trapside!G:G,"C",Trapside!P:P,"SLAUGHTER"),"")</f>
        <v/>
      </c>
      <c r="G10" s="133" t="str">
        <f t="shared" si="0"/>
        <v/>
      </c>
    </row>
    <row r="11" spans="1:7">
      <c r="B11" s="133" t="str">
        <f>IF(A11&lt;&gt;"",COUNTIFS(Trapside!F:F,"M",Trapside!G:G,"A",Trapside!P:P,"SLAUGHTER"),"")</f>
        <v/>
      </c>
      <c r="C11" s="133" t="str">
        <f>IF(A11&lt;&gt;"",COUNTIFS(Trapside!F:F,"M",Trapside!G:G,"Y",Trapside!P:P,"SLAUGHTER"),"")</f>
        <v/>
      </c>
      <c r="D11" s="133" t="str">
        <f>IF(A11&lt;&gt;"",COUNTIFS(Trapside!F:F,"F",Trapside!G:G,"A",Trapside!P:P,"SLAUGHTER"),"")</f>
        <v/>
      </c>
      <c r="E11" s="133" t="str">
        <f>IF(A11&lt;&gt;"",COUNTIFS(Trapside!F:F,"F",Trapside!G:G,"Y",Trapside!P:P,"SLAUGHTER"),"")</f>
        <v/>
      </c>
      <c r="F11" s="133" t="str">
        <f>IF(A11&lt;&gt;"",COUNTIFS(Trapside!G:G,"C",Trapside!P:P,"SLAUGHTER"),"")</f>
        <v/>
      </c>
      <c r="G11" s="133" t="str">
        <f t="shared" si="0"/>
        <v/>
      </c>
    </row>
    <row r="12" spans="1:7">
      <c r="B12" s="133" t="str">
        <f>IF(A12&lt;&gt;"",COUNTIFS(Trapside!F:F,"M",Trapside!G:G,"A",Trapside!P:P,"SLAUGHTER"),"")</f>
        <v/>
      </c>
      <c r="C12" s="133" t="str">
        <f>IF(A12&lt;&gt;"",COUNTIFS(Trapside!F:F,"M",Trapside!G:G,"Y",Trapside!P:P,"SLAUGHTER"),"")</f>
        <v/>
      </c>
      <c r="D12" s="133" t="str">
        <f>IF(A12&lt;&gt;"",COUNTIFS(Trapside!F:F,"F",Trapside!G:G,"A",Trapside!P:P,"SLAUGHTER"),"")</f>
        <v/>
      </c>
      <c r="E12" s="133" t="str">
        <f>IF(A12&lt;&gt;"",COUNTIFS(Trapside!F:F,"F",Trapside!G:G,"Y",Trapside!P:P,"SLAUGHTER"),"")</f>
        <v/>
      </c>
      <c r="F12" s="133" t="str">
        <f>IF(A12&lt;&gt;"",COUNTIFS(Trapside!G:G,"C",Trapside!P:P,"SLAUGHTER"),"")</f>
        <v/>
      </c>
      <c r="G12" s="133" t="str">
        <f t="shared" si="0"/>
        <v/>
      </c>
    </row>
    <row r="13" spans="1:7">
      <c r="B13" s="133" t="str">
        <f>IF(A13&lt;&gt;"",COUNTIFS(Trapside!F:F,"M",Trapside!G:G,"A",Trapside!P:P,"SLAUGHTER"),"")</f>
        <v/>
      </c>
      <c r="C13" s="133" t="str">
        <f>IF(A13&lt;&gt;"",COUNTIFS(Trapside!F:F,"M",Trapside!G:G,"Y",Trapside!P:P,"SLAUGHTER"),"")</f>
        <v/>
      </c>
      <c r="D13" s="133" t="str">
        <f>IF(A13&lt;&gt;"",COUNTIFS(Trapside!F:F,"F",Trapside!G:G,"A",Trapside!P:P,"SLAUGHTER"),"")</f>
        <v/>
      </c>
      <c r="E13" s="133" t="str">
        <f>IF(A13&lt;&gt;"",COUNTIFS(Trapside!F:F,"F",Trapside!G:G,"Y",Trapside!P:P,"SLAUGHTER"),"")</f>
        <v/>
      </c>
      <c r="F13" s="133" t="str">
        <f>IF(A13&lt;&gt;"",COUNTIFS(Trapside!G:G,"C",Trapside!P:P,"SLAUGHTER"),"")</f>
        <v/>
      </c>
      <c r="G13" s="133" t="str">
        <f t="shared" si="0"/>
        <v/>
      </c>
    </row>
    <row r="14" spans="1:7">
      <c r="B14" s="133" t="str">
        <f>IF(A14&lt;&gt;"",COUNTIFS(Trapside!F:F,"M",Trapside!G:G,"A",Trapside!P:P,"SLAUGHTER"),"")</f>
        <v/>
      </c>
      <c r="C14" s="133" t="str">
        <f>IF(A14&lt;&gt;"",COUNTIFS(Trapside!F:F,"M",Trapside!G:G,"Y",Trapside!P:P,"SLAUGHTER"),"")</f>
        <v/>
      </c>
      <c r="D14" s="133" t="str">
        <f>IF(A14&lt;&gt;"",COUNTIFS(Trapside!F:F,"F",Trapside!G:G,"A",Trapside!P:P,"SLAUGHTER"),"")</f>
        <v/>
      </c>
      <c r="E14" s="133" t="str">
        <f>IF(A14&lt;&gt;"",COUNTIFS(Trapside!F:F,"F",Trapside!G:G,"Y",Trapside!P:P,"SLAUGHTER"),"")</f>
        <v/>
      </c>
      <c r="F14" s="133" t="str">
        <f>IF(A14&lt;&gt;"",COUNTIFS(Trapside!G:G,"C",Trapside!P:P,"SLAUGHTER"),"")</f>
        <v/>
      </c>
      <c r="G14" s="133" t="str">
        <f t="shared" si="0"/>
        <v/>
      </c>
    </row>
    <row r="15" spans="1:7">
      <c r="B15" s="133" t="str">
        <f>IF(A15&lt;&gt;"",COUNTIFS(Trapside!F:F,"M",Trapside!G:G,"A",Trapside!P:P,"SLAUGHTER"),"")</f>
        <v/>
      </c>
      <c r="C15" s="133" t="str">
        <f>IF(A15&lt;&gt;"",COUNTIFS(Trapside!F:F,"M",Trapside!G:G,"Y",Trapside!P:P,"SLAUGHTER"),"")</f>
        <v/>
      </c>
      <c r="D15" s="133" t="str">
        <f>IF(A15&lt;&gt;"",COUNTIFS(Trapside!F:F,"F",Trapside!G:G,"A",Trapside!P:P,"SLAUGHTER"),"")</f>
        <v/>
      </c>
      <c r="E15" s="133" t="str">
        <f>IF(A15&lt;&gt;"",COUNTIFS(Trapside!F:F,"F",Trapside!G:G,"Y",Trapside!P:P,"SLAUGHTER"),"")</f>
        <v/>
      </c>
      <c r="F15" s="133" t="str">
        <f>IF(A15&lt;&gt;"",COUNTIFS(Trapside!G:G,"C",Trapside!P:P,"SLAUGHTER"),"")</f>
        <v/>
      </c>
      <c r="G15" s="133" t="str">
        <f t="shared" si="0"/>
        <v/>
      </c>
    </row>
    <row r="16" spans="1:7">
      <c r="B16" s="133" t="str">
        <f>IF(A16&lt;&gt;"",COUNTIFS(Trapside!F:F,"M",Trapside!G:G,"A",Trapside!P:P,"SLAUGHTER"),"")</f>
        <v/>
      </c>
      <c r="C16" s="133" t="str">
        <f>IF(A16&lt;&gt;"",COUNTIFS(Trapside!F:F,"M",Trapside!G:G,"Y",Trapside!P:P,"SLAUGHTER"),"")</f>
        <v/>
      </c>
      <c r="D16" s="133" t="str">
        <f>IF(A16&lt;&gt;"",COUNTIFS(Trapside!F:F,"F",Trapside!G:G,"A",Trapside!P:P,"SLAUGHTER"),"")</f>
        <v/>
      </c>
      <c r="E16" s="133" t="str">
        <f>IF(A16&lt;&gt;"",COUNTIFS(Trapside!F:F,"F",Trapside!G:G,"Y",Trapside!P:P,"SLAUGHTER"),"")</f>
        <v/>
      </c>
      <c r="F16" s="133" t="str">
        <f>IF(A16&lt;&gt;"",COUNTIFS(Trapside!G:G,"C",Trapside!P:P,"SLAUGHTER"),"")</f>
        <v/>
      </c>
      <c r="G16" s="133" t="str">
        <f t="shared" si="0"/>
        <v/>
      </c>
    </row>
    <row r="17" spans="2:7">
      <c r="B17" s="133" t="str">
        <f>IF(A17&lt;&gt;"",COUNTIFS(Trapside!F:F,"M",Trapside!G:G,"A",Trapside!P:P,"SLAUGHTER"),"")</f>
        <v/>
      </c>
      <c r="C17" s="133" t="str">
        <f>IF(A17&lt;&gt;"",COUNTIFS(Trapside!F:F,"M",Trapside!G:G,"Y",Trapside!P:P,"SLAUGHTER"),"")</f>
        <v/>
      </c>
      <c r="D17" s="133" t="str">
        <f>IF(A17&lt;&gt;"",COUNTIFS(Trapside!F:F,"F",Trapside!G:G,"A",Trapside!P:P,"SLAUGHTER"),"")</f>
        <v/>
      </c>
      <c r="E17" s="133" t="str">
        <f>IF(A17&lt;&gt;"",COUNTIFS(Trapside!F:F,"F",Trapside!G:G,"Y",Trapside!P:P,"SLAUGHTER"),"")</f>
        <v/>
      </c>
      <c r="F17" s="133" t="str">
        <f>IF(A17&lt;&gt;"",COUNTIFS(Trapside!G:G,"C",Trapside!P:P,"SLAUGHTER"),"")</f>
        <v/>
      </c>
      <c r="G17" s="133" t="str">
        <f t="shared" si="0"/>
        <v/>
      </c>
    </row>
    <row r="18" spans="2:7">
      <c r="B18" s="133" t="str">
        <f>IF(A18&lt;&gt;"",COUNTIFS(Trapside!F:F,"M",Trapside!G:G,"A",Trapside!P:P,"SLAUGHTER"),"")</f>
        <v/>
      </c>
      <c r="C18" s="133" t="str">
        <f>IF(A18&lt;&gt;"",COUNTIFS(Trapside!F:F,"M",Trapside!G:G,"Y",Trapside!P:P,"SLAUGHTER"),"")</f>
        <v/>
      </c>
      <c r="D18" s="133" t="str">
        <f>IF(A18&lt;&gt;"",COUNTIFS(Trapside!F:F,"F",Trapside!G:G,"A",Trapside!P:P,"SLAUGHTER"),"")</f>
        <v/>
      </c>
      <c r="E18" s="133" t="str">
        <f>IF(A18&lt;&gt;"",COUNTIFS(Trapside!F:F,"F",Trapside!G:G,"Y",Trapside!P:P,"SLAUGHTER"),"")</f>
        <v/>
      </c>
      <c r="F18" s="133" t="str">
        <f>IF(A18&lt;&gt;"",COUNTIFS(Trapside!G:G,"C",Trapside!P:P,"SLAUGHTER"),"")</f>
        <v/>
      </c>
      <c r="G18" s="133" t="str">
        <f t="shared" si="0"/>
        <v/>
      </c>
    </row>
    <row r="19" spans="2:7">
      <c r="B19" s="133" t="str">
        <f>IF(A19&lt;&gt;"",COUNTIFS(Trapside!F:F,"M",Trapside!G:G,"A",Trapside!P:P,"SLAUGHTER"),"")</f>
        <v/>
      </c>
      <c r="C19" s="133" t="str">
        <f>IF(A19&lt;&gt;"",COUNTIFS(Trapside!F:F,"M",Trapside!G:G,"Y",Trapside!P:P,"SLAUGHTER"),"")</f>
        <v/>
      </c>
      <c r="D19" s="133" t="str">
        <f>IF(A19&lt;&gt;"",COUNTIFS(Trapside!F:F,"F",Trapside!G:G,"A",Trapside!P:P,"SLAUGHTER"),"")</f>
        <v/>
      </c>
      <c r="E19" s="133" t="str">
        <f>IF(A19&lt;&gt;"",COUNTIFS(Trapside!F:F,"F",Trapside!G:G,"Y",Trapside!P:P,"SLAUGHTER"),"")</f>
        <v/>
      </c>
      <c r="F19" s="133" t="str">
        <f>IF(A19&lt;&gt;"",COUNTIFS(Trapside!G:G,"C",Trapside!P:P,"SLAUGHTER"),"")</f>
        <v/>
      </c>
      <c r="G19" s="133" t="str">
        <f t="shared" si="0"/>
        <v/>
      </c>
    </row>
    <row r="20" spans="2:7">
      <c r="B20" s="133" t="str">
        <f>IF(A20&lt;&gt;"",COUNTIFS(Trapside!F:F,"M",Trapside!G:G,"A",Trapside!P:P,"SLAUGHTER"),"")</f>
        <v/>
      </c>
      <c r="C20" s="133" t="str">
        <f>IF(A20&lt;&gt;"",COUNTIFS(Trapside!F:F,"M",Trapside!G:G,"Y",Trapside!P:P,"SLAUGHTER"),"")</f>
        <v/>
      </c>
      <c r="D20" s="133" t="str">
        <f>IF(A20&lt;&gt;"",COUNTIFS(Trapside!F:F,"F",Trapside!G:G,"A",Trapside!P:P,"SLAUGHTER"),"")</f>
        <v/>
      </c>
      <c r="E20" s="133" t="str">
        <f>IF(A20&lt;&gt;"",COUNTIFS(Trapside!F:F,"F",Trapside!G:G,"Y",Trapside!P:P,"SLAUGHTER"),"")</f>
        <v/>
      </c>
      <c r="F20" s="133" t="str">
        <f>IF(A20&lt;&gt;"",COUNTIFS(Trapside!G:G,"C",Trapside!P:P,"SLAUGHTER"),"")</f>
        <v/>
      </c>
      <c r="G20" s="133" t="str">
        <f t="shared" si="0"/>
        <v/>
      </c>
    </row>
    <row r="21" spans="2:7">
      <c r="B21" s="133" t="str">
        <f>IF(A21&lt;&gt;"",COUNTIFS(Trapside!F:F,"M",Trapside!G:G,"A",Trapside!P:P,"SLAUGHTER"),"")</f>
        <v/>
      </c>
      <c r="C21" s="133" t="str">
        <f>IF(A21&lt;&gt;"",COUNTIFS(Trapside!F:F,"M",Trapside!G:G,"Y",Trapside!P:P,"SLAUGHTER"),"")</f>
        <v/>
      </c>
      <c r="D21" s="133" t="str">
        <f>IF(A21&lt;&gt;"",COUNTIFS(Trapside!F:F,"F",Trapside!G:G,"A",Trapside!P:P,"SLAUGHTER"),"")</f>
        <v/>
      </c>
      <c r="E21" s="133" t="str">
        <f>IF(A21&lt;&gt;"",COUNTIFS(Trapside!F:F,"F",Trapside!G:G,"Y",Trapside!P:P,"SLAUGHTER"),"")</f>
        <v/>
      </c>
      <c r="F21" s="133" t="str">
        <f>IF(A21&lt;&gt;"",COUNTIFS(Trapside!G:G,"C",Trapside!P:P,"SLAUGHTER"),"")</f>
        <v/>
      </c>
      <c r="G21" s="133" t="str">
        <f t="shared" si="0"/>
        <v/>
      </c>
    </row>
  </sheetData>
  <conditionalFormatting sqref="A1">
    <cfRule type="cellIs" dxfId="0" priority="1" operator="equal">
      <formula>"01/00/1900"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Ready, Nicole Toshiko</dc:creator>
  <cp:keywords/>
  <dc:description/>
  <cp:lastModifiedBy/>
  <cp:revision/>
  <dcterms:created xsi:type="dcterms:W3CDTF">2022-03-09T17:22:08Z</dcterms:created>
  <dcterms:modified xsi:type="dcterms:W3CDTF">2025-12-01T23:57:47Z</dcterms:modified>
  <cp:category/>
  <cp:contentStatus/>
</cp:coreProperties>
</file>