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NEW O DRIVE\Management\IBMP\Data files\"/>
    </mc:Choice>
  </mc:AlternateContent>
  <xr:revisionPtr revIDLastSave="0" documentId="8_{F21C7E1A-1997-4F1B-8848-51B4EC863615}" xr6:coauthVersionLast="47" xr6:coauthVersionMax="47" xr10:uidLastSave="{00000000-0000-0000-0000-000000000000}"/>
  <bookViews>
    <workbookView xWindow="420" yWindow="180" windowWidth="18765" windowHeight="14235" tabRatio="947" firstSheet="2" activeTab="2" xr2:uid="{00000000-000D-0000-FFFF-FFFF00000000}"/>
  </bookViews>
  <sheets>
    <sheet name="Harvest" sheetId="1" r:id="rId1"/>
    <sheet name="Testing" sheetId="2" r:id="rId2"/>
    <sheet name="Total" sheetId="3" r:id="rId3"/>
    <sheet name="Capture and Consignment" sheetId="4" r:id="rId4"/>
    <sheet name="Gardiner Basin Counts" sheetId="5" r:id="rId5"/>
    <sheet name="basin count and removal sheet" sheetId="11" r:id="rId6"/>
    <sheet name="consignment" sheetId="10" r:id="rId7"/>
  </sheets>
  <definedNames>
    <definedName name="_xlnm.Print_Area" localSheetId="4">'Gardiner Basin Counts'!$A$1:$K$36</definedName>
    <definedName name="_xlnm.Print_Area" localSheetId="0">Harvest!$A$1:$Q$102</definedName>
    <definedName name="_xlnm.Print_Area" localSheetId="2">Total!$A$1:$N$28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M3" i="5"/>
  <c r="L4" i="5"/>
  <c r="M4" i="5"/>
  <c r="L5" i="5"/>
  <c r="M5" i="5"/>
  <c r="L6" i="5"/>
  <c r="M6" i="5"/>
  <c r="L7" i="5"/>
  <c r="M7" i="5"/>
  <c r="L8" i="5"/>
  <c r="M8" i="5"/>
  <c r="L9" i="5"/>
  <c r="M9" i="5"/>
  <c r="L10" i="5"/>
  <c r="M10" i="5"/>
  <c r="L11" i="5"/>
  <c r="M11" i="5"/>
  <c r="L12" i="5"/>
  <c r="M12" i="5"/>
  <c r="L13" i="5"/>
  <c r="M13" i="5"/>
  <c r="L14" i="5"/>
  <c r="M14" i="5"/>
  <c r="L15" i="5"/>
  <c r="M15" i="5"/>
  <c r="L16" i="5"/>
  <c r="M16" i="5"/>
  <c r="L17" i="5"/>
  <c r="M17" i="5"/>
  <c r="L18" i="5"/>
  <c r="M18" i="5"/>
  <c r="L19" i="5"/>
  <c r="M19" i="5"/>
  <c r="L20" i="5"/>
  <c r="M20" i="5"/>
  <c r="L21" i="5"/>
  <c r="M21" i="5"/>
  <c r="L22" i="5"/>
  <c r="M22" i="5"/>
  <c r="L23" i="5"/>
  <c r="M23" i="5"/>
  <c r="L24" i="5"/>
  <c r="M24" i="5"/>
  <c r="L25" i="5"/>
  <c r="M25" i="5"/>
  <c r="L26" i="5"/>
  <c r="M26" i="5"/>
  <c r="L27" i="5"/>
  <c r="M27" i="5"/>
  <c r="L28" i="5"/>
  <c r="M28" i="5"/>
  <c r="L29" i="5"/>
  <c r="M29" i="5"/>
  <c r="L30" i="5"/>
  <c r="M30" i="5"/>
  <c r="L31" i="5"/>
  <c r="M31" i="5"/>
  <c r="L32" i="5"/>
  <c r="M32" i="5"/>
  <c r="L33" i="5"/>
  <c r="M33" i="5"/>
  <c r="L34" i="5"/>
  <c r="M34" i="5"/>
  <c r="L35" i="5"/>
  <c r="M35" i="5"/>
  <c r="L36" i="5"/>
  <c r="M36" i="5"/>
  <c r="M2" i="5"/>
  <c r="L2" i="5"/>
  <c r="G36" i="5" l="1"/>
  <c r="G35" i="5" l="1"/>
  <c r="G34" i="5" l="1"/>
  <c r="G33" i="5" l="1"/>
  <c r="N28" i="2" l="1"/>
  <c r="O28" i="2"/>
  <c r="G32" i="5" l="1"/>
  <c r="I31" i="5" l="1"/>
  <c r="G31" i="5"/>
  <c r="I30" i="5" l="1"/>
  <c r="G30" i="5"/>
  <c r="I22" i="10" l="1"/>
  <c r="I21" i="10"/>
  <c r="G17" i="10" l="1"/>
  <c r="G16" i="10"/>
  <c r="M13" i="10"/>
  <c r="G15" i="10" l="1"/>
  <c r="M12" i="10" l="1"/>
  <c r="K15" i="10"/>
  <c r="L15" i="10"/>
  <c r="J15" i="10"/>
  <c r="G14" i="10" l="1"/>
  <c r="M11" i="10" l="1"/>
  <c r="B19" i="10"/>
  <c r="M16" i="10"/>
  <c r="G13" i="10"/>
  <c r="K17" i="10" l="1"/>
  <c r="L17" i="10"/>
  <c r="J17" i="10"/>
  <c r="E23" i="4"/>
  <c r="D23" i="4"/>
  <c r="C23" i="4"/>
  <c r="I29" i="5" l="1"/>
  <c r="C19" i="3"/>
  <c r="K29" i="5"/>
  <c r="G29" i="5"/>
  <c r="K28" i="5"/>
  <c r="G28" i="5"/>
  <c r="G27" i="5" l="1"/>
  <c r="G26" i="5"/>
  <c r="G12" i="10" l="1"/>
  <c r="B56" i="1" l="1"/>
  <c r="G11" i="10" l="1"/>
  <c r="M10" i="10"/>
  <c r="C19" i="10"/>
  <c r="D19" i="10"/>
  <c r="E19" i="10"/>
  <c r="F19" i="10"/>
  <c r="B15" i="4" l="1"/>
  <c r="B23" i="4" s="1"/>
  <c r="G10" i="10" l="1"/>
  <c r="G9" i="10"/>
  <c r="B55" i="1" l="1"/>
  <c r="M9" i="10" l="1"/>
  <c r="M8" i="10" l="1"/>
  <c r="G8" i="10"/>
  <c r="M4" i="10" l="1"/>
  <c r="M5" i="10"/>
  <c r="M6" i="10"/>
  <c r="M7" i="10"/>
  <c r="M3" i="10"/>
  <c r="G4" i="10"/>
  <c r="G5" i="10"/>
  <c r="G6" i="10"/>
  <c r="G7" i="10"/>
  <c r="G3" i="10"/>
  <c r="J20" i="3"/>
  <c r="K20" i="3"/>
  <c r="L20" i="3"/>
  <c r="M20" i="3"/>
  <c r="N20" i="3"/>
  <c r="D20" i="3"/>
  <c r="E20" i="3"/>
  <c r="F20" i="3"/>
  <c r="G20" i="3"/>
  <c r="H20" i="3"/>
  <c r="D19" i="3"/>
  <c r="E19" i="3"/>
  <c r="F19" i="3"/>
  <c r="G19" i="3"/>
  <c r="H19" i="3"/>
  <c r="J19" i="3"/>
  <c r="K19" i="3"/>
  <c r="L19" i="3"/>
  <c r="M19" i="3"/>
  <c r="N19" i="3"/>
  <c r="I19" i="3"/>
  <c r="I20" i="3"/>
  <c r="K21" i="3" l="1"/>
  <c r="M21" i="3"/>
  <c r="M15" i="10"/>
  <c r="M17" i="10" s="1"/>
  <c r="G19" i="10"/>
  <c r="N21" i="3"/>
  <c r="L21" i="3"/>
  <c r="J21" i="3"/>
  <c r="K25" i="5"/>
  <c r="G23" i="5" l="1"/>
  <c r="G24" i="5"/>
  <c r="G25" i="5"/>
  <c r="G22" i="5"/>
  <c r="G17" i="1" l="1"/>
  <c r="J17" i="1" l="1"/>
  <c r="I17" i="1"/>
  <c r="H17" i="1"/>
  <c r="F17" i="1"/>
  <c r="E17" i="1"/>
  <c r="D17" i="1"/>
  <c r="C17" i="1"/>
  <c r="D20" i="1" l="1"/>
  <c r="D21" i="3" l="1"/>
  <c r="F21" i="3"/>
  <c r="C20" i="3"/>
  <c r="C21" i="3" s="1"/>
  <c r="I21" i="3"/>
  <c r="G21" i="3"/>
  <c r="N19" i="1"/>
  <c r="H21" i="3" l="1"/>
  <c r="E21" i="3"/>
  <c r="I22" i="3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" i="5"/>
  <c r="C22" i="3" l="1"/>
  <c r="C23" i="3" s="1"/>
  <c r="H28" i="2" l="1"/>
  <c r="B28" i="2"/>
  <c r="P28" i="2" s="1"/>
  <c r="D27" i="2"/>
  <c r="E27" i="2"/>
  <c r="F27" i="2"/>
  <c r="G27" i="2"/>
  <c r="H27" i="2"/>
  <c r="I27" i="2"/>
  <c r="J27" i="2"/>
  <c r="K27" i="2"/>
  <c r="L27" i="2"/>
  <c r="M27" i="2"/>
  <c r="C27" i="2"/>
  <c r="B27" i="2"/>
  <c r="B29" i="2" s="1"/>
  <c r="L29" i="2" l="1"/>
  <c r="J29" i="2"/>
  <c r="H29" i="2"/>
  <c r="F29" i="2"/>
  <c r="D29" i="2"/>
  <c r="G18" i="1"/>
  <c r="C18" i="1"/>
  <c r="D24" i="4" l="1"/>
  <c r="D27" i="4" s="1"/>
</calcChain>
</file>

<file path=xl/sharedStrings.xml><?xml version="1.0" encoding="utf-8"?>
<sst xmlns="http://schemas.openxmlformats.org/spreadsheetml/2006/main" count="542" uniqueCount="189">
  <si>
    <t>Agency/Tribe</t>
  </si>
  <si>
    <t>NORTH</t>
  </si>
  <si>
    <t>WEST</t>
  </si>
  <si>
    <t>NORTH Harvest Chronology</t>
  </si>
  <si>
    <t>Male</t>
  </si>
  <si>
    <t>Female</t>
  </si>
  <si>
    <t>Unk</t>
  </si>
  <si>
    <t>Date</t>
  </si>
  <si>
    <t>Hunt Closure</t>
  </si>
  <si>
    <t>Harvests</t>
  </si>
  <si>
    <t>Adult</t>
  </si>
  <si>
    <t>Calf</t>
  </si>
  <si>
    <t>State of Montana</t>
  </si>
  <si>
    <t>CSKT</t>
  </si>
  <si>
    <t>NPT</t>
  </si>
  <si>
    <t>SB</t>
  </si>
  <si>
    <t>CTU</t>
  </si>
  <si>
    <t>YN</t>
  </si>
  <si>
    <t>BN</t>
  </si>
  <si>
    <t>NA</t>
  </si>
  <si>
    <t>Unreported</t>
  </si>
  <si>
    <t>NPS (injured/shot/died in YNP)</t>
  </si>
  <si>
    <t>MTFWP (injured/shot)</t>
  </si>
  <si>
    <t>MTFWP (seized)</t>
  </si>
  <si>
    <t>Year to Date</t>
  </si>
  <si>
    <t>Total</t>
  </si>
  <si>
    <t xml:space="preserve">updated </t>
  </si>
  <si>
    <t>total below</t>
  </si>
  <si>
    <t>***2/27/20 missing harvests above should be Yakima of Blackfeet</t>
  </si>
  <si>
    <t>****also discrepancy with Umatilla harvest based on 2/26 hunt call</t>
  </si>
  <si>
    <t>Harvest Summary:</t>
  </si>
  <si>
    <t>Note this summary is from conversations with Brian/Kevin and other game wardens. This total is slightly less than the above MTFWP totals</t>
  </si>
  <si>
    <t>Between Stephens and Reece</t>
  </si>
  <si>
    <t>Out of park maximum count</t>
  </si>
  <si>
    <t>Captured</t>
  </si>
  <si>
    <t>Notes</t>
  </si>
  <si>
    <t>2 elk harvested by Nez Perce</t>
  </si>
  <si>
    <t>1 calf elk harvested by Blackfeet</t>
  </si>
  <si>
    <t>1 cow elk harvested by Nez Perce</t>
  </si>
  <si>
    <t>1 elk harvested by Nez Perce</t>
  </si>
  <si>
    <t>5 bulls, 4 cows, 1 calf</t>
  </si>
  <si>
    <t>HUNT CALL</t>
  </si>
  <si>
    <t xml:space="preserve">Blackfeet harvested one old cow bison eagle creek, 27 BEATTIE, </t>
  </si>
  <si>
    <t>harvests updated as unknowns above 10 bulls, six cows two calves.  Blackfeet 11, nez perce 6, shoban 1</t>
  </si>
  <si>
    <t>2 COWS AND 2 CALVES BEATTIE</t>
  </si>
  <si>
    <t>1 each by shoban, umatilla, and nez perce</t>
  </si>
  <si>
    <t>rumor of 10 harvests</t>
  </si>
  <si>
    <t>Harvest in Eagle Creek (Umatilla)</t>
  </si>
  <si>
    <t>11 on chappies not reported as out</t>
  </si>
  <si>
    <t>Blackfeet take 6 elk + maybe 2 wounded; 11 on chappies not reported as out</t>
  </si>
  <si>
    <t>0 on chappies</t>
  </si>
  <si>
    <t>3 bulls umatilla beattie gulch</t>
  </si>
  <si>
    <t>23 harvested at west</t>
  </si>
  <si>
    <t>up to about 30 harvested west, 3 (2 bull a calf Eagle Creek) may be as many as 7</t>
  </si>
  <si>
    <t>unknown if any harvested (report of blackfeet killed 14 at west - these are not included yet in harvest totals)</t>
  </si>
  <si>
    <t>report of as many as 60 killed at west (3 shot Beattie, 1 Shot Eagle Creek (Bull)</t>
  </si>
  <si>
    <t>(6 4B, 1F, 1 calf) In afternoon - about 200 moved north of park in evening, 15-20 in eagle creek</t>
  </si>
  <si>
    <t>total excludes 2 bulls included in this total were shot by MTDOL in Zone 3 and given to hunting party. 6 cows, 8 bulls, 5 calves other harvest</t>
  </si>
  <si>
    <t>total excludes 1 calf shot by Brian near boundary</t>
  </si>
  <si>
    <t xml:space="preserve">2 bulls on RTR; Also 4-5 animals in Chappies and perhaps a few bulls in Eagle Creek </t>
  </si>
  <si>
    <t>3 bulls and 1 calf</t>
  </si>
  <si>
    <t>8 calves, 4 bulls</t>
  </si>
  <si>
    <t>2 bulls</t>
  </si>
  <si>
    <t>9 bulls (7 harvested, 1 died in prk and 1 shot in park)</t>
  </si>
  <si>
    <t>4 bulls and 2 cows</t>
  </si>
  <si>
    <t>2 bulls in eagle creek</t>
  </si>
  <si>
    <t>Yearling</t>
  </si>
  <si>
    <t>Untested</t>
  </si>
  <si>
    <t>+</t>
  </si>
  <si>
    <t>-</t>
  </si>
  <si>
    <t>1 untested adult bull</t>
  </si>
  <si>
    <t>2 untested adult bulls, 1 untested male calf, one suspect female adult called NEG</t>
  </si>
  <si>
    <t>1 untested female adult and 1 untested male calf</t>
  </si>
  <si>
    <t>1 female calf untested, 1 male adult untested 1 suspect male calf called NEG</t>
  </si>
  <si>
    <t>3 untested FA, 4 FC, 1 MC</t>
  </si>
  <si>
    <t>13 untested FA, 2 MA, 3 MC</t>
  </si>
  <si>
    <t>9 untested FA, 2 MA, 3 MC</t>
  </si>
  <si>
    <t>30 untested FA, 8 FC, 3MA, 10 MC</t>
  </si>
  <si>
    <t>Removal Method</t>
  </si>
  <si>
    <t>A</t>
  </si>
  <si>
    <t>Y</t>
  </si>
  <si>
    <t>C</t>
  </si>
  <si>
    <t>HARVEST</t>
  </si>
  <si>
    <t>Harvest (Mont)</t>
  </si>
  <si>
    <t>Harvest (CSKT)</t>
  </si>
  <si>
    <t>Harvest (NPT)</t>
  </si>
  <si>
    <t>Harvest (CTU)</t>
  </si>
  <si>
    <t>Harvest (SB)</t>
  </si>
  <si>
    <t>Harvest (YN)</t>
  </si>
  <si>
    <t>Harvest (BT)</t>
  </si>
  <si>
    <t>Harvest (NA)</t>
  </si>
  <si>
    <r>
      <t>Observed and unreported</t>
    </r>
    <r>
      <rPr>
        <vertAlign val="superscript"/>
        <sz val="10"/>
        <color theme="1"/>
        <rFont val="Times New Roman"/>
        <family val="1"/>
      </rPr>
      <t>1</t>
    </r>
  </si>
  <si>
    <r>
      <t>NPS</t>
    </r>
    <r>
      <rPr>
        <vertAlign val="superscript"/>
        <sz val="10"/>
        <color theme="1"/>
        <rFont val="Times New Roman"/>
        <family val="1"/>
      </rPr>
      <t>2</t>
    </r>
  </si>
  <si>
    <r>
      <t>MTFWP</t>
    </r>
    <r>
      <rPr>
        <vertAlign val="superscript"/>
        <sz val="10"/>
        <color theme="1"/>
        <rFont val="Times New Roman"/>
        <family val="1"/>
      </rPr>
      <t>3</t>
    </r>
  </si>
  <si>
    <t>CULL</t>
  </si>
  <si>
    <t>Captured and Consigned</t>
  </si>
  <si>
    <r>
      <t>Removed to Quarantine</t>
    </r>
    <r>
      <rPr>
        <vertAlign val="superscript"/>
        <sz val="10"/>
        <color theme="1"/>
        <rFont val="Times New Roman"/>
        <family val="1"/>
      </rPr>
      <t>4</t>
    </r>
  </si>
  <si>
    <t>Capture Pen Mortality</t>
  </si>
  <si>
    <t>MTDOL Management Shooting</t>
  </si>
  <si>
    <t>TOTAL</t>
  </si>
  <si>
    <t>Approximate Management Removal</t>
  </si>
  <si>
    <r>
      <rPr>
        <vertAlign val="superscript"/>
        <sz val="10"/>
        <color theme="1"/>
        <rFont val="Times New Roman"/>
        <family val="1"/>
      </rPr>
      <t>1</t>
    </r>
    <r>
      <rPr>
        <sz val="10"/>
        <color theme="1"/>
        <rFont val="Times New Roman"/>
        <family val="1"/>
      </rPr>
      <t xml:space="preserve"> - Harvests observed by wardens and unreported by the date of this report</t>
    </r>
  </si>
  <si>
    <t>2 - Wounded animals shot (or died) within Yellowstone by YNP personnel</t>
  </si>
  <si>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- Wounding loss reported by MTFWP</t>
    </r>
  </si>
  <si>
    <r>
      <rPr>
        <vertAlign val="super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 xml:space="preserve"> - Being held for potential enrollment in quarantine program</t>
    </r>
  </si>
  <si>
    <t>Capture</t>
  </si>
  <si>
    <t>Consigned</t>
  </si>
  <si>
    <t>Hold/Release</t>
  </si>
  <si>
    <t>Capture Facility Death</t>
  </si>
  <si>
    <t>Destination</t>
  </si>
  <si>
    <t>6 to quarantine pen</t>
  </si>
  <si>
    <t>9 to quarantine pen</t>
  </si>
  <si>
    <t>5 to quarantine pen</t>
  </si>
  <si>
    <t>13 to qurantine pen</t>
  </si>
  <si>
    <t>11 to quarntine pen</t>
  </si>
  <si>
    <t>6 quarantine, female calf gate injury</t>
  </si>
  <si>
    <t>10 to quarantine</t>
  </si>
  <si>
    <t>11 to quarantine pen</t>
  </si>
  <si>
    <t>***Double load</t>
  </si>
  <si>
    <t>***Backup 2nd load is 26 in horse pen (to Helena)</t>
  </si>
  <si>
    <t>IN PEN</t>
  </si>
  <si>
    <t>Calf Pen</t>
  </si>
  <si>
    <t>Horse Pen</t>
  </si>
  <si>
    <t>To move</t>
  </si>
  <si>
    <t>* Horse pen has 26 (11 calves, 15 yrlngs) as potential double load to Helena on Friday</t>
  </si>
  <si>
    <t>*Calf pen has 17</t>
  </si>
  <si>
    <t>Tues: Helena, TJ hauling</t>
  </si>
  <si>
    <t>Weds: Helea, TJ hauling</t>
  </si>
  <si>
    <t>Thurs: Helena and Whites, Nicole to Helena, TJ to Ronan (need MTDOL to go to Helena)</t>
  </si>
  <si>
    <t>Bob would take 2nd load on Thursday</t>
  </si>
  <si>
    <t>Friday: Nicole to Pioneer, Helena (TJ - maybe 1 or 2 trailers, need MTDOL to pioneer)</t>
  </si>
  <si>
    <t>Friday would be Big Timber and Helena</t>
  </si>
  <si>
    <t>Mammoth to Gardiner</t>
  </si>
  <si>
    <t>North Entrance Station to Stephens Creek Facility</t>
  </si>
  <si>
    <t>Stephens Creek Facility to Park Boundary</t>
  </si>
  <si>
    <t>North of Park Boundary</t>
  </si>
  <si>
    <t>Eagle Creek SMA</t>
  </si>
  <si>
    <t>Harvests to Date</t>
  </si>
  <si>
    <t>New Harvests</t>
  </si>
  <si>
    <t>Trapped to Date</t>
  </si>
  <si>
    <t>New Trapped</t>
  </si>
  <si>
    <t>IN Park</t>
  </si>
  <si>
    <t>OUT of PARK</t>
  </si>
  <si>
    <t>none</t>
  </si>
  <si>
    <t>YELL-120, YELL-129, YELL-141</t>
  </si>
  <si>
    <t>YELL-124, YELL-114</t>
  </si>
  <si>
    <t>YELL-105, YELL-120, YELL-126, YELL-124</t>
  </si>
  <si>
    <t>YELL-128, YELL-112, YELL-105, YELL-301, YELL-120, YELL-114, YELL-124</t>
  </si>
  <si>
    <t>YELL-301, YELL-120, YELL105, YELL-114</t>
  </si>
  <si>
    <t>YELL-128, YELL-116, YELL-112, YELL-105, YELL-124, YELL-141, YELL-114, YELL-120</t>
  </si>
  <si>
    <t>YELL-124, YELL-128, YELL-112, YELL-116, YELL-120, YELL-114, YELL-117, YELL-141</t>
  </si>
  <si>
    <t>YELL-112, YELL-073, YELL-129, YELL-128, YELL-105, YELL-124, YELL-141</t>
  </si>
  <si>
    <t>YELL-375, YELL-073, YELL-129, YELL-301, YELL-141, YELL-120, YELL-041, YELL-128, YELL-126, YELL-112, YELL-114, YELL-124</t>
  </si>
  <si>
    <t>YELL-121,Yell-041,Yell,073,Yell-084,Yell-120,Yell-133,Yell-129,Yell-089,Yell-105,Yell-112,Yell=-114,Yell-124,Yell-301</t>
  </si>
  <si>
    <t>YELL-117, YELL-360, YELL-120, YELL-133</t>
  </si>
  <si>
    <t>YELL-073, YELL-129, YELL-117, YELL-133</t>
  </si>
  <si>
    <t>YELL-129, YELL-073, YELL-122, YELL-120</t>
  </si>
  <si>
    <t>YELL-073, YELL-120, YELL-041</t>
  </si>
  <si>
    <t>INPark</t>
  </si>
  <si>
    <t>OUTPark</t>
  </si>
  <si>
    <t>Trapped</t>
  </si>
  <si>
    <t>Consigment to Slaughter</t>
  </si>
  <si>
    <t>Consignment to Quarantine</t>
  </si>
  <si>
    <t>Adult Bull</t>
  </si>
  <si>
    <t>Adult Cow</t>
  </si>
  <si>
    <t>1 YO Bull</t>
  </si>
  <si>
    <t>1 YO Cow</t>
  </si>
  <si>
    <t>0 YO Calf</t>
  </si>
  <si>
    <t>Monday March 9 2020</t>
  </si>
  <si>
    <t>Sunday March 8 2020</t>
  </si>
  <si>
    <t>Tuesday March 10 2020</t>
  </si>
  <si>
    <t>Wednesday March 11 2020</t>
  </si>
  <si>
    <t>Thursday March 12 2020</t>
  </si>
  <si>
    <t>Friday March 13 2020</t>
  </si>
  <si>
    <t>Monday March 16 2020</t>
  </si>
  <si>
    <t>Sunday March 15 2020</t>
  </si>
  <si>
    <t>Tuesday March 17 2020</t>
  </si>
  <si>
    <t>Wednesday March 18 2020</t>
  </si>
  <si>
    <t>Sunday March 22 2020</t>
  </si>
  <si>
    <t>Thursday March 19 2020</t>
  </si>
  <si>
    <t>Monday March 23 2020</t>
  </si>
  <si>
    <t>Friday March 20 2020</t>
  </si>
  <si>
    <t>Tuesday March 24 2020</t>
  </si>
  <si>
    <t>Wednesday March 25 2020</t>
  </si>
  <si>
    <t>Total to Date</t>
  </si>
  <si>
    <t>Thursday March 26 2020</t>
  </si>
  <si>
    <t>Goals</t>
  </si>
  <si>
    <t>Friday March 27 200</t>
  </si>
  <si>
    <t>Need to fill 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</si>
</sst>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27">
    <xf numFmtId="0" fontId="0" fillId="0" borderId="0" xfId="0"/>
    <xf numFmtId="1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/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5" xfId="0" applyFont="1" applyFill="1" applyBorder="1" applyAlignment="1">
      <alignment horizontal="center" vertical="center" wrapText="1"/>
    </xf>
    <xf numFmtId="14" fontId="2" fillId="2" borderId="19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4" fontId="3" fillId="2" borderId="20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4" borderId="18" xfId="0" applyFont="1" applyFill="1" applyBorder="1"/>
    <xf numFmtId="0" fontId="3" fillId="4" borderId="13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3" fillId="4" borderId="9" xfId="0" applyFont="1" applyFill="1" applyBorder="1"/>
    <xf numFmtId="0" fontId="3" fillId="4" borderId="15" xfId="0" applyFont="1" applyFill="1" applyBorder="1"/>
    <xf numFmtId="0" fontId="0" fillId="2" borderId="0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vertical="center"/>
    </xf>
    <xf numFmtId="14" fontId="0" fillId="2" borderId="0" xfId="0" applyNumberFormat="1" applyFill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49" fontId="6" fillId="2" borderId="19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0" fillId="5" borderId="0" xfId="0" applyFill="1" applyBorder="1" applyAlignment="1">
      <alignment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0" fontId="5" fillId="0" borderId="0" xfId="0" applyFont="1"/>
    <xf numFmtId="0" fontId="2" fillId="4" borderId="6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center" vertical="top"/>
    </xf>
    <xf numFmtId="49" fontId="2" fillId="2" borderId="6" xfId="0" applyNumberFormat="1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  <xf numFmtId="0" fontId="2" fillId="4" borderId="28" xfId="0" applyFont="1" applyFill="1" applyBorder="1" applyAlignment="1">
      <alignment horizontal="center" vertical="top"/>
    </xf>
    <xf numFmtId="0" fontId="2" fillId="4" borderId="29" xfId="0" applyFont="1" applyFill="1" applyBorder="1" applyAlignment="1">
      <alignment horizontal="center" vertical="top"/>
    </xf>
    <xf numFmtId="0" fontId="2" fillId="2" borderId="39" xfId="0" applyFont="1" applyFill="1" applyBorder="1" applyAlignment="1">
      <alignment horizontal="center" vertical="top"/>
    </xf>
    <xf numFmtId="0" fontId="2" fillId="2" borderId="34" xfId="0" applyFont="1" applyFill="1" applyBorder="1" applyAlignment="1">
      <alignment horizontal="center" vertical="top"/>
    </xf>
    <xf numFmtId="0" fontId="2" fillId="4" borderId="14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2" fillId="4" borderId="31" xfId="0" applyFont="1" applyFill="1" applyBorder="1" applyAlignment="1">
      <alignment horizontal="center" vertical="top"/>
    </xf>
    <xf numFmtId="0" fontId="2" fillId="2" borderId="38" xfId="0" applyFont="1" applyFill="1" applyBorder="1" applyAlignment="1">
      <alignment horizontal="center" vertical="top"/>
    </xf>
    <xf numFmtId="14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4" fontId="0" fillId="2" borderId="0" xfId="0" applyNumberFormat="1" applyFill="1" applyAlignment="1">
      <alignment vertical="center"/>
    </xf>
    <xf numFmtId="0" fontId="7" fillId="2" borderId="4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9" fontId="0" fillId="2" borderId="0" xfId="1" applyFont="1" applyFill="1" applyAlignment="1">
      <alignment vertical="center"/>
    </xf>
    <xf numFmtId="1" fontId="2" fillId="2" borderId="1" xfId="0" applyNumberFormat="1" applyFont="1" applyFill="1" applyBorder="1" applyAlignment="1">
      <alignment vertical="center"/>
    </xf>
    <xf numFmtId="1" fontId="2" fillId="2" borderId="1" xfId="1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14" fontId="2" fillId="2" borderId="19" xfId="0" applyNumberFormat="1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/>
    </xf>
    <xf numFmtId="14" fontId="2" fillId="2" borderId="37" xfId="0" applyNumberFormat="1" applyFont="1" applyFill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0" fillId="0" borderId="0" xfId="0" applyNumberFormat="1"/>
    <xf numFmtId="0" fontId="2" fillId="2" borderId="1" xfId="1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16" fontId="6" fillId="2" borderId="19" xfId="0" applyNumberFormat="1" applyFont="1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2" borderId="5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top"/>
    </xf>
    <xf numFmtId="0" fontId="2" fillId="4" borderId="13" xfId="0" applyFont="1" applyFill="1" applyBorder="1" applyAlignment="1">
      <alignment horizontal="center" vertical="top"/>
    </xf>
    <xf numFmtId="49" fontId="2" fillId="4" borderId="25" xfId="0" applyNumberFormat="1" applyFont="1" applyFill="1" applyBorder="1" applyAlignment="1">
      <alignment horizontal="left" vertical="center"/>
    </xf>
    <xf numFmtId="49" fontId="2" fillId="4" borderId="4" xfId="0" applyNumberFormat="1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top"/>
    </xf>
    <xf numFmtId="49" fontId="3" fillId="2" borderId="18" xfId="0" applyNumberFormat="1" applyFont="1" applyFill="1" applyBorder="1" applyAlignment="1">
      <alignment horizontal="center" vertical="center"/>
    </xf>
    <xf numFmtId="49" fontId="3" fillId="4" borderId="28" xfId="0" applyNumberFormat="1" applyFont="1" applyFill="1" applyBorder="1" applyAlignment="1">
      <alignment horizontal="left" vertical="center"/>
    </xf>
    <xf numFmtId="49" fontId="3" fillId="2" borderId="39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top"/>
    </xf>
    <xf numFmtId="0" fontId="6" fillId="2" borderId="13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49" fontId="6" fillId="2" borderId="19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top"/>
    </xf>
    <xf numFmtId="0" fontId="2" fillId="4" borderId="41" xfId="0" applyFont="1" applyFill="1" applyBorder="1" applyAlignment="1">
      <alignment horizontal="center" vertical="top"/>
    </xf>
    <xf numFmtId="0" fontId="2" fillId="2" borderId="42" xfId="0" applyFont="1" applyFill="1" applyBorder="1" applyAlignment="1">
      <alignment horizontal="center" vertical="top"/>
    </xf>
    <xf numFmtId="0" fontId="0" fillId="6" borderId="1" xfId="0" applyFill="1" applyBorder="1"/>
    <xf numFmtId="0" fontId="5" fillId="0" borderId="1" xfId="0" applyFont="1" applyBorder="1"/>
    <xf numFmtId="0" fontId="0" fillId="0" borderId="1" xfId="0" applyBorder="1"/>
    <xf numFmtId="0" fontId="5" fillId="0" borderId="1" xfId="0" applyFont="1" applyFill="1" applyBorder="1"/>
    <xf numFmtId="0" fontId="0" fillId="0" borderId="1" xfId="0" applyFill="1" applyBorder="1"/>
    <xf numFmtId="0" fontId="5" fillId="6" borderId="1" xfId="0" applyFont="1" applyFill="1" applyBorder="1"/>
    <xf numFmtId="49" fontId="2" fillId="4" borderId="2" xfId="0" applyNumberFormat="1" applyFont="1" applyFill="1" applyBorder="1" applyAlignment="1">
      <alignment horizontal="left" vertical="center"/>
    </xf>
    <xf numFmtId="0" fontId="2" fillId="4" borderId="47" xfId="0" applyFont="1" applyFill="1" applyBorder="1" applyAlignment="1">
      <alignment horizontal="center" vertical="top"/>
    </xf>
    <xf numFmtId="14" fontId="5" fillId="0" borderId="0" xfId="0" applyNumberFormat="1" applyFont="1"/>
    <xf numFmtId="0" fontId="5" fillId="5" borderId="1" xfId="0" applyFont="1" applyFill="1" applyBorder="1"/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top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14" fontId="5" fillId="5" borderId="1" xfId="0" applyNumberFormat="1" applyFont="1" applyFill="1" applyBorder="1"/>
    <xf numFmtId="14" fontId="5" fillId="7" borderId="1" xfId="0" applyNumberFormat="1" applyFont="1" applyFill="1" applyBorder="1"/>
    <xf numFmtId="0" fontId="5" fillId="7" borderId="1" xfId="0" applyFont="1" applyFill="1" applyBorder="1"/>
    <xf numFmtId="0" fontId="0" fillId="0" borderId="0" xfId="0" applyNumberFormat="1"/>
    <xf numFmtId="14" fontId="2" fillId="2" borderId="5" xfId="0" applyNumberFormat="1" applyFont="1" applyFill="1" applyBorder="1"/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4" fontId="2" fillId="2" borderId="52" xfId="0" applyNumberFormat="1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14" fontId="2" fillId="2" borderId="0" xfId="0" applyNumberFormat="1" applyFont="1" applyFill="1"/>
    <xf numFmtId="49" fontId="2" fillId="2" borderId="0" xfId="0" applyNumberFormat="1" applyFont="1" applyFill="1" applyAlignment="1">
      <alignment horizontal="left" vertical="center"/>
    </xf>
    <xf numFmtId="49" fontId="2" fillId="2" borderId="1" xfId="1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top"/>
    </xf>
    <xf numFmtId="14" fontId="2" fillId="2" borderId="54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horizontal="right" vertical="center"/>
    </xf>
    <xf numFmtId="0" fontId="0" fillId="0" borderId="0" xfId="0" applyFill="1"/>
    <xf numFmtId="14" fontId="2" fillId="2" borderId="1" xfId="1" applyNumberFormat="1" applyFont="1" applyFill="1" applyBorder="1" applyAlignment="1">
      <alignment horizontal="right" vertical="center"/>
    </xf>
    <xf numFmtId="1" fontId="2" fillId="2" borderId="1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right" vertical="center"/>
    </xf>
    <xf numFmtId="0" fontId="7" fillId="2" borderId="40" xfId="0" applyFont="1" applyFill="1" applyBorder="1" applyAlignment="1">
      <alignment horizontal="right" vertical="center"/>
    </xf>
    <xf numFmtId="0" fontId="7" fillId="2" borderId="15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right" vertical="center"/>
    </xf>
    <xf numFmtId="0" fontId="3" fillId="2" borderId="23" xfId="0" applyFont="1" applyFill="1" applyBorder="1" applyAlignment="1">
      <alignment horizontal="right" vertical="center"/>
    </xf>
    <xf numFmtId="0" fontId="3" fillId="2" borderId="33" xfId="0" applyFont="1" applyFill="1" applyBorder="1" applyAlignment="1">
      <alignment horizontal="right" vertical="center"/>
    </xf>
    <xf numFmtId="0" fontId="3" fillId="2" borderId="22" xfId="0" applyFont="1" applyFill="1" applyBorder="1" applyAlignment="1">
      <alignment horizontal="right" vertical="center"/>
    </xf>
    <xf numFmtId="14" fontId="2" fillId="2" borderId="24" xfId="0" applyNumberFormat="1" applyFont="1" applyFill="1" applyBorder="1" applyAlignment="1">
      <alignment horizontal="center" vertical="top"/>
    </xf>
    <xf numFmtId="14" fontId="2" fillId="2" borderId="26" xfId="0" applyNumberFormat="1" applyFont="1" applyFill="1" applyBorder="1" applyAlignment="1">
      <alignment horizontal="center" vertical="top"/>
    </xf>
    <xf numFmtId="14" fontId="2" fillId="2" borderId="27" xfId="0" applyNumberFormat="1" applyFont="1" applyFill="1" applyBorder="1" applyAlignment="1">
      <alignment horizontal="center" vertical="top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15" xfId="0" applyFont="1" applyFill="1" applyBorder="1" applyAlignment="1">
      <alignment horizontal="right" vertical="top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49" fontId="2" fillId="2" borderId="51" xfId="0" applyNumberFormat="1" applyFont="1" applyFill="1" applyBorder="1" applyAlignment="1">
      <alignment horizontal="center" vertical="center" wrapText="1"/>
    </xf>
    <xf numFmtId="49" fontId="2" fillId="2" borderId="26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right" vertical="top"/>
    </xf>
    <xf numFmtId="0" fontId="3" fillId="2" borderId="18" xfId="0" applyFont="1" applyFill="1" applyBorder="1" applyAlignment="1">
      <alignment horizontal="center" vertical="top"/>
    </xf>
    <xf numFmtId="0" fontId="3" fillId="2" borderId="48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0" fontId="3" fillId="2" borderId="42" xfId="0" applyFont="1" applyFill="1" applyBorder="1" applyAlignment="1">
      <alignment horizontal="center" vertical="top"/>
    </xf>
    <xf numFmtId="0" fontId="3" fillId="2" borderId="17" xfId="0" applyFont="1" applyFill="1" applyBorder="1" applyAlignment="1">
      <alignment horizontal="center" vertical="top"/>
    </xf>
    <xf numFmtId="0" fontId="3" fillId="2" borderId="40" xfId="0" applyFont="1" applyFill="1" applyBorder="1" applyAlignment="1">
      <alignment horizontal="center" vertical="top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9"/>
  <sheetViews>
    <sheetView view="pageBreakPreview" topLeftCell="A18" zoomScaleNormal="100" zoomScaleSheetLayoutView="100" workbookViewId="0">
      <selection activeCell="E99" sqref="A23:E99"/>
    </sheetView>
  </sheetViews>
  <sheetFormatPr defaultColWidth="9.140625" defaultRowHeight="15"/>
  <cols>
    <col min="1" max="1" width="21.42578125" style="3" bestFit="1" customWidth="1"/>
    <col min="2" max="2" width="21.42578125" style="3" customWidth="1"/>
    <col min="3" max="3" width="11" style="3" customWidth="1"/>
    <col min="4" max="4" width="7.28515625" style="3" customWidth="1"/>
    <col min="5" max="5" width="8" style="3" customWidth="1"/>
    <col min="6" max="6" width="5.85546875" style="3" customWidth="1"/>
    <col min="7" max="8" width="9.42578125" style="3" customWidth="1"/>
    <col min="9" max="9" width="10.42578125" style="3" customWidth="1"/>
    <col min="10" max="10" width="10.7109375" style="3" customWidth="1"/>
    <col min="11" max="11" width="12.42578125" style="3" customWidth="1"/>
    <col min="12" max="12" width="16.7109375" style="3" customWidth="1"/>
    <col min="13" max="13" width="13.42578125" style="3" bestFit="1" customWidth="1"/>
    <col min="14" max="14" width="9" style="3" bestFit="1" customWidth="1"/>
    <col min="15" max="16384" width="9.140625" style="3"/>
  </cols>
  <sheetData>
    <row r="1" spans="1:14" ht="15.75">
      <c r="A1" s="178" t="s">
        <v>0</v>
      </c>
      <c r="B1" s="116"/>
      <c r="C1" s="186" t="s">
        <v>1</v>
      </c>
      <c r="D1" s="186"/>
      <c r="E1" s="186"/>
      <c r="F1" s="186"/>
      <c r="G1" s="186" t="s">
        <v>2</v>
      </c>
      <c r="H1" s="186"/>
      <c r="I1" s="186"/>
      <c r="J1" s="187"/>
      <c r="L1" s="98" t="s">
        <v>3</v>
      </c>
      <c r="M1" s="99"/>
      <c r="N1" s="100"/>
    </row>
    <row r="2" spans="1:14" ht="15.75">
      <c r="A2" s="179"/>
      <c r="B2" s="37"/>
      <c r="C2" s="35" t="s">
        <v>4</v>
      </c>
      <c r="D2" s="172" t="s">
        <v>5</v>
      </c>
      <c r="E2" s="184" t="s">
        <v>6</v>
      </c>
      <c r="F2" s="184"/>
      <c r="G2" s="35" t="s">
        <v>4</v>
      </c>
      <c r="H2" s="172" t="s">
        <v>5</v>
      </c>
      <c r="I2" s="184" t="s">
        <v>6</v>
      </c>
      <c r="J2" s="185"/>
      <c r="L2" s="101" t="s">
        <v>7</v>
      </c>
      <c r="M2" s="97" t="s">
        <v>8</v>
      </c>
      <c r="N2" s="40" t="s">
        <v>9</v>
      </c>
    </row>
    <row r="3" spans="1:14" ht="16.5" thickBot="1">
      <c r="A3" s="180"/>
      <c r="B3" s="37"/>
      <c r="C3" s="69" t="s">
        <v>10</v>
      </c>
      <c r="D3" s="70" t="s">
        <v>10</v>
      </c>
      <c r="E3" s="70" t="s">
        <v>6</v>
      </c>
      <c r="F3" s="70" t="s">
        <v>11</v>
      </c>
      <c r="G3" s="69" t="s">
        <v>10</v>
      </c>
      <c r="H3" s="70" t="s">
        <v>10</v>
      </c>
      <c r="I3" s="70" t="s">
        <v>6</v>
      </c>
      <c r="J3" s="76" t="s">
        <v>11</v>
      </c>
      <c r="L3" s="101"/>
      <c r="M3" s="37"/>
      <c r="N3" s="40"/>
    </row>
    <row r="4" spans="1:14" ht="15.75">
      <c r="A4" s="127" t="s">
        <v>12</v>
      </c>
      <c r="B4" s="117"/>
      <c r="C4" s="71">
        <v>4</v>
      </c>
      <c r="D4" s="72">
        <v>0</v>
      </c>
      <c r="E4" s="72">
        <v>0</v>
      </c>
      <c r="F4" s="73">
        <v>0</v>
      </c>
      <c r="G4" s="71">
        <v>0</v>
      </c>
      <c r="H4" s="72">
        <v>0</v>
      </c>
      <c r="I4" s="72">
        <v>0</v>
      </c>
      <c r="J4" s="77">
        <v>0</v>
      </c>
      <c r="L4" s="101"/>
      <c r="M4" s="37"/>
      <c r="N4" s="40"/>
    </row>
    <row r="5" spans="1:14" ht="15.75">
      <c r="A5" s="127" t="s">
        <v>13</v>
      </c>
      <c r="B5" s="117"/>
      <c r="C5" s="36">
        <v>0</v>
      </c>
      <c r="D5" s="37">
        <v>0</v>
      </c>
      <c r="E5" s="37">
        <v>0</v>
      </c>
      <c r="F5" s="74">
        <v>0</v>
      </c>
      <c r="G5" s="36">
        <v>2</v>
      </c>
      <c r="H5" s="37">
        <v>5</v>
      </c>
      <c r="I5" s="37">
        <v>0</v>
      </c>
      <c r="J5" s="44">
        <v>1</v>
      </c>
      <c r="L5" s="101"/>
      <c r="M5" s="37"/>
      <c r="N5" s="40"/>
    </row>
    <row r="6" spans="1:14" ht="15.75">
      <c r="A6" s="127" t="s">
        <v>14</v>
      </c>
      <c r="B6" s="117"/>
      <c r="C6" s="36">
        <v>10</v>
      </c>
      <c r="D6" s="37">
        <v>11</v>
      </c>
      <c r="E6" s="37">
        <v>0</v>
      </c>
      <c r="F6" s="74">
        <v>14</v>
      </c>
      <c r="G6" s="36">
        <v>0</v>
      </c>
      <c r="H6" s="37">
        <v>0</v>
      </c>
      <c r="I6" s="37">
        <v>16</v>
      </c>
      <c r="J6" s="44">
        <v>0</v>
      </c>
      <c r="L6" s="101"/>
      <c r="M6" s="37"/>
      <c r="N6" s="40"/>
    </row>
    <row r="7" spans="1:14" ht="15.75">
      <c r="A7" s="127" t="s">
        <v>15</v>
      </c>
      <c r="B7" s="117"/>
      <c r="C7" s="36">
        <v>4</v>
      </c>
      <c r="D7" s="37">
        <v>4</v>
      </c>
      <c r="E7" s="37">
        <v>6</v>
      </c>
      <c r="F7" s="74">
        <v>2</v>
      </c>
      <c r="G7" s="36">
        <v>0</v>
      </c>
      <c r="H7" s="37">
        <v>0</v>
      </c>
      <c r="I7" s="37">
        <v>0</v>
      </c>
      <c r="J7" s="44">
        <v>0</v>
      </c>
      <c r="L7" s="101"/>
      <c r="M7" s="37"/>
      <c r="N7" s="40"/>
    </row>
    <row r="8" spans="1:14" ht="15.75">
      <c r="A8" s="127" t="s">
        <v>16</v>
      </c>
      <c r="B8" s="117"/>
      <c r="C8" s="36">
        <v>4</v>
      </c>
      <c r="D8" s="37">
        <v>3</v>
      </c>
      <c r="E8" s="37">
        <v>0</v>
      </c>
      <c r="F8" s="74">
        <v>1</v>
      </c>
      <c r="G8" s="36">
        <v>0</v>
      </c>
      <c r="H8" s="37">
        <v>0</v>
      </c>
      <c r="I8" s="37">
        <v>0</v>
      </c>
      <c r="J8" s="44">
        <v>0</v>
      </c>
      <c r="L8" s="102"/>
      <c r="M8" s="37"/>
      <c r="N8" s="40"/>
    </row>
    <row r="9" spans="1:14" ht="15.75">
      <c r="A9" s="127" t="s">
        <v>17</v>
      </c>
      <c r="B9" s="117"/>
      <c r="C9" s="36">
        <v>2</v>
      </c>
      <c r="D9" s="37">
        <v>1</v>
      </c>
      <c r="E9" s="37">
        <v>0</v>
      </c>
      <c r="F9" s="74">
        <v>2</v>
      </c>
      <c r="G9" s="36">
        <v>0</v>
      </c>
      <c r="H9" s="37">
        <v>0</v>
      </c>
      <c r="I9" s="37">
        <v>0</v>
      </c>
      <c r="J9" s="44">
        <v>0</v>
      </c>
      <c r="L9" s="101"/>
      <c r="M9" s="37"/>
      <c r="N9" s="40"/>
    </row>
    <row r="10" spans="1:14" ht="15.75">
      <c r="A10" s="127" t="s">
        <v>18</v>
      </c>
      <c r="B10" s="117"/>
      <c r="C10" s="36">
        <v>0</v>
      </c>
      <c r="D10" s="37">
        <v>1</v>
      </c>
      <c r="E10" s="37">
        <v>19</v>
      </c>
      <c r="F10" s="74">
        <v>0</v>
      </c>
      <c r="G10" s="36">
        <v>0</v>
      </c>
      <c r="H10" s="37">
        <v>0</v>
      </c>
      <c r="I10" s="37">
        <v>0</v>
      </c>
      <c r="J10" s="44">
        <v>0</v>
      </c>
      <c r="L10" s="101"/>
      <c r="M10" s="37"/>
      <c r="N10" s="40"/>
    </row>
    <row r="11" spans="1:14" ht="15.75">
      <c r="A11" s="127" t="s">
        <v>19</v>
      </c>
      <c r="B11" s="117"/>
      <c r="C11" s="36">
        <v>0</v>
      </c>
      <c r="D11" s="37">
        <v>0</v>
      </c>
      <c r="E11" s="37">
        <v>0</v>
      </c>
      <c r="F11" s="74">
        <v>0</v>
      </c>
      <c r="G11" s="36">
        <v>0</v>
      </c>
      <c r="H11" s="37">
        <v>0</v>
      </c>
      <c r="I11" s="37">
        <v>0</v>
      </c>
      <c r="J11" s="44">
        <v>0</v>
      </c>
      <c r="L11" s="101"/>
      <c r="M11" s="37"/>
      <c r="N11" s="40"/>
    </row>
    <row r="12" spans="1:14" ht="15.75">
      <c r="A12" s="127" t="s">
        <v>20</v>
      </c>
      <c r="B12" s="117"/>
      <c r="C12" s="36">
        <v>42</v>
      </c>
      <c r="D12" s="37">
        <v>17</v>
      </c>
      <c r="E12" s="37">
        <v>54</v>
      </c>
      <c r="F12" s="74">
        <v>15</v>
      </c>
      <c r="G12" s="36">
        <v>2</v>
      </c>
      <c r="H12" s="37">
        <v>0</v>
      </c>
      <c r="I12" s="37">
        <v>37</v>
      </c>
      <c r="J12" s="44">
        <v>0</v>
      </c>
      <c r="L12" s="101"/>
      <c r="M12" s="37"/>
      <c r="N12" s="40"/>
    </row>
    <row r="13" spans="1:14" ht="15.75">
      <c r="A13" s="127" t="s">
        <v>21</v>
      </c>
      <c r="B13" s="117"/>
      <c r="C13" s="36">
        <v>5</v>
      </c>
      <c r="D13" s="37">
        <v>1</v>
      </c>
      <c r="E13" s="37">
        <v>0</v>
      </c>
      <c r="F13" s="74">
        <v>1</v>
      </c>
      <c r="G13" s="36">
        <v>0</v>
      </c>
      <c r="H13" s="37">
        <v>0</v>
      </c>
      <c r="I13" s="37">
        <v>0</v>
      </c>
      <c r="J13" s="44">
        <v>0</v>
      </c>
      <c r="K13" s="4"/>
      <c r="L13" s="103"/>
      <c r="M13" s="4"/>
      <c r="N13" s="41"/>
    </row>
    <row r="14" spans="1:14" ht="15.75">
      <c r="A14" s="127" t="s">
        <v>22</v>
      </c>
      <c r="B14" s="117"/>
      <c r="C14" s="36">
        <v>0</v>
      </c>
      <c r="D14" s="37">
        <v>0</v>
      </c>
      <c r="E14" s="37">
        <v>0</v>
      </c>
      <c r="F14" s="74">
        <v>0</v>
      </c>
      <c r="G14" s="36">
        <v>0</v>
      </c>
      <c r="H14" s="37">
        <v>0</v>
      </c>
      <c r="I14" s="37">
        <v>0</v>
      </c>
      <c r="J14" s="44">
        <v>0</v>
      </c>
      <c r="K14" s="4"/>
      <c r="L14" s="103"/>
      <c r="M14" s="39"/>
      <c r="N14" s="41"/>
    </row>
    <row r="15" spans="1:14" ht="15.75">
      <c r="A15" s="127" t="s">
        <v>23</v>
      </c>
      <c r="B15" s="117"/>
      <c r="C15" s="36">
        <v>0</v>
      </c>
      <c r="D15" s="37">
        <v>0</v>
      </c>
      <c r="E15" s="37">
        <v>0</v>
      </c>
      <c r="F15" s="74">
        <v>0</v>
      </c>
      <c r="G15" s="36">
        <v>0</v>
      </c>
      <c r="H15" s="37">
        <v>0</v>
      </c>
      <c r="I15" s="37">
        <v>0</v>
      </c>
      <c r="J15" s="44">
        <v>0</v>
      </c>
      <c r="K15" s="4"/>
      <c r="L15" s="103"/>
      <c r="M15" s="39"/>
      <c r="N15" s="41"/>
    </row>
    <row r="16" spans="1:14" ht="15.75">
      <c r="A16" s="43"/>
      <c r="B16" s="117"/>
      <c r="C16" s="36"/>
      <c r="D16" s="37"/>
      <c r="E16" s="37"/>
      <c r="F16" s="74"/>
      <c r="G16" s="36"/>
      <c r="H16" s="37"/>
      <c r="I16" s="37"/>
      <c r="J16" s="44"/>
      <c r="L16" s="103"/>
      <c r="M16" s="39"/>
      <c r="N16" s="41"/>
    </row>
    <row r="17" spans="1:16" ht="18.75">
      <c r="A17" s="45" t="s">
        <v>24</v>
      </c>
      <c r="B17" s="118"/>
      <c r="C17" s="38">
        <f t="shared" ref="C17:J17" si="0">SUM(C4:C15)</f>
        <v>71</v>
      </c>
      <c r="D17" s="68">
        <f t="shared" si="0"/>
        <v>38</v>
      </c>
      <c r="E17" s="68">
        <f t="shared" si="0"/>
        <v>79</v>
      </c>
      <c r="F17" s="75">
        <f t="shared" si="0"/>
        <v>35</v>
      </c>
      <c r="G17" s="38">
        <f t="shared" si="0"/>
        <v>4</v>
      </c>
      <c r="H17" s="68">
        <f t="shared" si="0"/>
        <v>5</v>
      </c>
      <c r="I17" s="68">
        <f t="shared" si="0"/>
        <v>53</v>
      </c>
      <c r="J17" s="78">
        <f t="shared" si="0"/>
        <v>1</v>
      </c>
      <c r="K17" s="7"/>
      <c r="L17" s="103"/>
      <c r="M17" s="4"/>
      <c r="N17" s="41"/>
    </row>
    <row r="18" spans="1:16" ht="16.5" thickBot="1">
      <c r="A18" s="46" t="s">
        <v>25</v>
      </c>
      <c r="B18" s="119"/>
      <c r="C18" s="181">
        <f>SUM(C17:F17)</f>
        <v>223</v>
      </c>
      <c r="D18" s="181"/>
      <c r="E18" s="181"/>
      <c r="F18" s="182"/>
      <c r="G18" s="181">
        <f>SUM(G17:J17)</f>
        <v>63</v>
      </c>
      <c r="H18" s="181"/>
      <c r="I18" s="181"/>
      <c r="J18" s="183"/>
      <c r="L18" s="104"/>
      <c r="M18" s="105"/>
      <c r="N18" s="42"/>
    </row>
    <row r="19" spans="1:16">
      <c r="A19" s="4"/>
      <c r="B19" s="4"/>
      <c r="H19" s="3" t="s">
        <v>26</v>
      </c>
      <c r="M19" s="3" t="s">
        <v>25</v>
      </c>
      <c r="N19" s="3">
        <f>SUM(N3:N18)</f>
        <v>0</v>
      </c>
    </row>
    <row r="20" spans="1:16" ht="15.75">
      <c r="C20" s="3" t="s">
        <v>27</v>
      </c>
      <c r="D20" s="3">
        <f>SUM(D24:D101)</f>
        <v>216</v>
      </c>
      <c r="E20" s="39"/>
      <c r="F20" s="39"/>
      <c r="G20" s="39" t="s">
        <v>28</v>
      </c>
      <c r="H20" s="39"/>
      <c r="I20" s="4"/>
      <c r="J20" s="4"/>
    </row>
    <row r="21" spans="1:16" s="4" customFormat="1">
      <c r="G21" s="4" t="s">
        <v>29</v>
      </c>
    </row>
    <row r="22" spans="1:16" s="4" customFormat="1">
      <c r="A22" s="33" t="s">
        <v>30</v>
      </c>
      <c r="B22" s="33"/>
      <c r="C22" s="48" t="s">
        <v>31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</row>
    <row r="23" spans="1:16" s="4" customFormat="1">
      <c r="A23" s="120" t="s">
        <v>7</v>
      </c>
      <c r="B23" s="121" t="s">
        <v>32</v>
      </c>
      <c r="C23" s="120" t="s">
        <v>33</v>
      </c>
      <c r="D23" s="120" t="s">
        <v>9</v>
      </c>
      <c r="E23" s="120" t="s">
        <v>34</v>
      </c>
      <c r="G23" s="33" t="s">
        <v>35</v>
      </c>
    </row>
    <row r="24" spans="1:16" s="4" customFormat="1">
      <c r="A24" s="123">
        <v>43877</v>
      </c>
      <c r="B24" s="121">
        <v>16</v>
      </c>
      <c r="C24" s="120">
        <v>0</v>
      </c>
      <c r="D24" s="120">
        <v>0</v>
      </c>
      <c r="E24" s="120">
        <v>0</v>
      </c>
      <c r="F24" s="4" t="s">
        <v>36</v>
      </c>
      <c r="G24" s="33"/>
    </row>
    <row r="25" spans="1:16" s="4" customFormat="1">
      <c r="A25" s="123">
        <v>43878</v>
      </c>
      <c r="B25" s="124">
        <v>100</v>
      </c>
      <c r="C25" s="122">
        <v>0</v>
      </c>
      <c r="D25" s="122">
        <v>0</v>
      </c>
      <c r="E25" s="122">
        <v>0</v>
      </c>
      <c r="G25" s="3"/>
      <c r="H25" s="3"/>
      <c r="I25" s="3"/>
      <c r="J25" s="3"/>
      <c r="O25" s="65"/>
      <c r="P25" s="66"/>
    </row>
    <row r="26" spans="1:16" s="4" customFormat="1">
      <c r="A26" s="123">
        <v>43879</v>
      </c>
      <c r="B26" s="124">
        <v>105</v>
      </c>
      <c r="C26" s="122">
        <v>0</v>
      </c>
      <c r="D26" s="122">
        <v>0</v>
      </c>
      <c r="E26" s="122">
        <v>0</v>
      </c>
      <c r="F26" s="4" t="s">
        <v>37</v>
      </c>
      <c r="G26" s="3"/>
      <c r="H26" s="3"/>
      <c r="I26" s="3"/>
      <c r="J26" s="3"/>
      <c r="O26" s="65"/>
      <c r="P26" s="66"/>
    </row>
    <row r="27" spans="1:16" s="4" customFormat="1">
      <c r="A27" s="123">
        <v>43880</v>
      </c>
      <c r="B27" s="124" t="s">
        <v>19</v>
      </c>
      <c r="C27" s="122">
        <v>63</v>
      </c>
      <c r="D27" s="122">
        <v>0</v>
      </c>
      <c r="E27" s="122">
        <v>0</v>
      </c>
      <c r="F27" s="4" t="s">
        <v>38</v>
      </c>
      <c r="G27" s="3"/>
      <c r="H27" s="3"/>
      <c r="I27" s="3"/>
      <c r="J27" s="3"/>
      <c r="O27" s="65"/>
      <c r="P27" s="66"/>
    </row>
    <row r="28" spans="1:16" s="4" customFormat="1">
      <c r="A28" s="123">
        <v>43881</v>
      </c>
      <c r="B28" s="124">
        <v>32</v>
      </c>
      <c r="C28" s="122">
        <v>0</v>
      </c>
      <c r="D28" s="122">
        <v>0</v>
      </c>
      <c r="E28" s="122">
        <v>0</v>
      </c>
      <c r="F28" s="4" t="s">
        <v>39</v>
      </c>
      <c r="G28" s="3"/>
      <c r="H28" s="3"/>
      <c r="I28" s="3"/>
      <c r="J28" s="3"/>
      <c r="O28" s="65"/>
      <c r="P28" s="66"/>
    </row>
    <row r="29" spans="1:16" s="4" customFormat="1">
      <c r="A29" s="123">
        <v>43882</v>
      </c>
      <c r="B29" s="124">
        <v>89</v>
      </c>
      <c r="C29" s="122">
        <v>15</v>
      </c>
      <c r="D29" s="122">
        <v>0</v>
      </c>
      <c r="E29" s="122">
        <v>0</v>
      </c>
      <c r="G29" s="3"/>
      <c r="H29" s="3"/>
      <c r="I29" s="3"/>
      <c r="J29" s="3"/>
      <c r="O29" s="65"/>
      <c r="P29" s="66"/>
    </row>
    <row r="30" spans="1:16" s="4" customFormat="1">
      <c r="A30" s="123">
        <v>43883</v>
      </c>
      <c r="B30" s="124">
        <v>25</v>
      </c>
      <c r="C30" s="124">
        <v>130</v>
      </c>
      <c r="D30" s="122">
        <v>0</v>
      </c>
      <c r="E30" s="122">
        <v>0</v>
      </c>
      <c r="G30" s="3"/>
      <c r="H30" s="3"/>
      <c r="I30" s="3"/>
      <c r="J30" s="3"/>
      <c r="O30" s="65"/>
      <c r="P30" s="79"/>
    </row>
    <row r="31" spans="1:16" s="4" customFormat="1">
      <c r="A31" s="123">
        <v>43884</v>
      </c>
      <c r="B31" s="124">
        <v>103</v>
      </c>
      <c r="C31" s="122">
        <v>128</v>
      </c>
      <c r="D31" s="122">
        <v>19</v>
      </c>
      <c r="E31" s="122">
        <v>0</v>
      </c>
      <c r="F31" s="125"/>
      <c r="G31" s="126"/>
      <c r="H31" s="126"/>
      <c r="I31" s="126"/>
      <c r="J31" s="126"/>
      <c r="O31" s="65"/>
      <c r="P31" s="79"/>
    </row>
    <row r="32" spans="1:16" s="4" customFormat="1">
      <c r="A32" s="123">
        <v>43885</v>
      </c>
      <c r="B32" s="124">
        <v>158</v>
      </c>
      <c r="C32" s="122">
        <v>68</v>
      </c>
      <c r="D32" s="122">
        <v>10</v>
      </c>
      <c r="E32" s="122">
        <v>0</v>
      </c>
      <c r="F32" s="125" t="s">
        <v>40</v>
      </c>
      <c r="G32" s="126"/>
      <c r="H32" s="126"/>
      <c r="I32" s="126"/>
      <c r="J32" s="126"/>
      <c r="O32" s="65"/>
      <c r="P32" s="79"/>
    </row>
    <row r="33" spans="1:17">
      <c r="A33" s="123">
        <v>43886</v>
      </c>
      <c r="B33" s="124">
        <v>350</v>
      </c>
      <c r="C33" s="122">
        <v>160</v>
      </c>
      <c r="D33" s="122">
        <v>10</v>
      </c>
      <c r="E33" s="122">
        <v>0</v>
      </c>
      <c r="F33" s="126"/>
      <c r="G33" s="126"/>
      <c r="H33" s="126"/>
      <c r="I33" s="126"/>
      <c r="J33" s="126"/>
      <c r="O33" s="65"/>
      <c r="P33" s="79"/>
      <c r="Q33" s="4"/>
    </row>
    <row r="34" spans="1:17">
      <c r="A34" s="123">
        <v>43887</v>
      </c>
      <c r="B34" s="124">
        <v>350</v>
      </c>
      <c r="C34" s="122">
        <v>100</v>
      </c>
      <c r="D34" s="122">
        <v>0</v>
      </c>
      <c r="E34" s="122">
        <v>0</v>
      </c>
      <c r="F34" s="3" t="s">
        <v>41</v>
      </c>
      <c r="O34" s="4"/>
      <c r="P34" s="4"/>
      <c r="Q34" s="4"/>
    </row>
    <row r="35" spans="1:17">
      <c r="A35" s="123">
        <v>43888</v>
      </c>
      <c r="B35" s="124">
        <v>89</v>
      </c>
      <c r="C35" s="122">
        <v>194</v>
      </c>
      <c r="D35" s="122">
        <v>28</v>
      </c>
      <c r="E35" s="122">
        <v>0</v>
      </c>
      <c r="F35" s="3" t="s">
        <v>42</v>
      </c>
      <c r="O35" s="4"/>
      <c r="P35" s="4"/>
      <c r="Q35" s="4"/>
    </row>
    <row r="36" spans="1:17">
      <c r="A36" s="123">
        <v>43889</v>
      </c>
      <c r="B36" s="124">
        <v>45</v>
      </c>
      <c r="C36" s="124">
        <v>83</v>
      </c>
      <c r="D36" s="122">
        <v>0</v>
      </c>
      <c r="E36" s="122">
        <v>0</v>
      </c>
    </row>
    <row r="37" spans="1:17">
      <c r="A37" s="123">
        <v>43890</v>
      </c>
      <c r="B37" s="124">
        <v>13</v>
      </c>
      <c r="C37" s="122">
        <v>92</v>
      </c>
      <c r="D37" s="122">
        <v>18</v>
      </c>
      <c r="E37" s="122">
        <v>0</v>
      </c>
      <c r="F37" s="3" t="s">
        <v>43</v>
      </c>
    </row>
    <row r="38" spans="1:17">
      <c r="A38" s="123">
        <v>43891</v>
      </c>
      <c r="B38" s="124">
        <v>0</v>
      </c>
      <c r="C38" s="124">
        <v>58</v>
      </c>
      <c r="D38" s="122">
        <v>11</v>
      </c>
      <c r="E38" s="122">
        <v>6</v>
      </c>
    </row>
    <row r="39" spans="1:17">
      <c r="A39" s="123">
        <v>43892</v>
      </c>
      <c r="B39" s="124">
        <v>235</v>
      </c>
      <c r="C39" s="122">
        <v>72</v>
      </c>
      <c r="D39" s="122">
        <v>4</v>
      </c>
      <c r="E39" s="122">
        <v>23</v>
      </c>
      <c r="F39" s="3" t="s">
        <v>44</v>
      </c>
    </row>
    <row r="40" spans="1:17">
      <c r="A40" s="123">
        <v>43893</v>
      </c>
      <c r="B40" s="124">
        <v>171</v>
      </c>
      <c r="C40" s="124">
        <v>132</v>
      </c>
      <c r="D40" s="122">
        <v>3</v>
      </c>
      <c r="E40" s="122">
        <v>57</v>
      </c>
      <c r="F40" s="3" t="s">
        <v>45</v>
      </c>
    </row>
    <row r="41" spans="1:17">
      <c r="A41" s="123">
        <v>43894</v>
      </c>
      <c r="B41" s="124">
        <v>247</v>
      </c>
      <c r="C41" s="124">
        <v>27</v>
      </c>
      <c r="D41" s="122">
        <v>9</v>
      </c>
      <c r="E41" s="122">
        <v>44</v>
      </c>
      <c r="F41" s="3" t="s">
        <v>46</v>
      </c>
    </row>
    <row r="42" spans="1:17">
      <c r="A42" s="123">
        <v>43895</v>
      </c>
      <c r="B42" s="124">
        <v>140</v>
      </c>
      <c r="C42" s="124">
        <v>110</v>
      </c>
      <c r="D42" s="122">
        <v>2</v>
      </c>
      <c r="E42" s="122">
        <v>110</v>
      </c>
      <c r="F42" s="3" t="s">
        <v>47</v>
      </c>
    </row>
    <row r="43" spans="1:17">
      <c r="A43" s="123">
        <v>43896</v>
      </c>
      <c r="B43" s="124">
        <v>160</v>
      </c>
      <c r="C43" s="124">
        <v>0</v>
      </c>
      <c r="D43" s="124">
        <v>0</v>
      </c>
      <c r="E43" s="124">
        <v>0</v>
      </c>
      <c r="F43" s="3" t="s">
        <v>48</v>
      </c>
    </row>
    <row r="44" spans="1:17">
      <c r="A44" s="123">
        <v>43897</v>
      </c>
      <c r="B44" s="124">
        <v>125</v>
      </c>
      <c r="C44" s="124">
        <v>0</v>
      </c>
      <c r="D44" s="122">
        <v>0</v>
      </c>
      <c r="E44" s="122">
        <v>0</v>
      </c>
      <c r="F44" s="3" t="s">
        <v>49</v>
      </c>
    </row>
    <row r="45" spans="1:17">
      <c r="A45" s="123">
        <v>43898</v>
      </c>
      <c r="B45" s="124" t="s">
        <v>19</v>
      </c>
      <c r="C45" s="122" t="s">
        <v>19</v>
      </c>
      <c r="D45" s="122">
        <v>0</v>
      </c>
      <c r="E45" s="122">
        <v>0</v>
      </c>
      <c r="F45" s="3" t="s">
        <v>48</v>
      </c>
    </row>
    <row r="46" spans="1:17">
      <c r="A46" s="123">
        <v>43899</v>
      </c>
      <c r="B46" s="124">
        <v>35</v>
      </c>
      <c r="C46" s="124">
        <v>0</v>
      </c>
      <c r="D46" s="124">
        <v>0</v>
      </c>
      <c r="E46" s="124">
        <v>0</v>
      </c>
      <c r="F46" s="3" t="s">
        <v>48</v>
      </c>
      <c r="G46" s="47"/>
      <c r="H46" s="47"/>
    </row>
    <row r="47" spans="1:17">
      <c r="A47" s="123">
        <v>43900</v>
      </c>
      <c r="B47" s="124">
        <v>35</v>
      </c>
      <c r="C47" s="124">
        <v>0</v>
      </c>
      <c r="D47" s="122">
        <v>0</v>
      </c>
      <c r="E47" s="122">
        <v>0</v>
      </c>
      <c r="F47" s="3" t="s">
        <v>48</v>
      </c>
    </row>
    <row r="48" spans="1:17">
      <c r="A48" s="123">
        <v>43901</v>
      </c>
      <c r="B48" s="124">
        <v>90</v>
      </c>
      <c r="C48" s="124">
        <v>0</v>
      </c>
      <c r="D48" s="122">
        <v>0</v>
      </c>
      <c r="E48" s="122">
        <v>0</v>
      </c>
      <c r="F48" s="3" t="s">
        <v>50</v>
      </c>
    </row>
    <row r="49" spans="1:6">
      <c r="A49" s="123">
        <v>43902</v>
      </c>
      <c r="B49" s="124">
        <v>10</v>
      </c>
      <c r="C49" s="122">
        <v>0</v>
      </c>
      <c r="D49" s="122">
        <v>0</v>
      </c>
      <c r="E49" s="122">
        <v>0</v>
      </c>
      <c r="F49" s="3" t="s">
        <v>50</v>
      </c>
    </row>
    <row r="50" spans="1:6">
      <c r="A50" s="123">
        <v>43903</v>
      </c>
      <c r="B50" s="124">
        <v>12</v>
      </c>
      <c r="C50" s="124">
        <v>0</v>
      </c>
      <c r="D50" s="124">
        <v>3</v>
      </c>
      <c r="E50" s="124">
        <v>0</v>
      </c>
      <c r="F50" s="3" t="s">
        <v>51</v>
      </c>
    </row>
    <row r="51" spans="1:6">
      <c r="A51" s="123">
        <v>43904</v>
      </c>
      <c r="B51" s="124">
        <v>160</v>
      </c>
      <c r="C51" s="124">
        <v>0</v>
      </c>
      <c r="D51" s="124">
        <v>0</v>
      </c>
      <c r="E51" s="124">
        <v>151</v>
      </c>
      <c r="F51" s="3" t="s">
        <v>52</v>
      </c>
    </row>
    <row r="52" spans="1:6">
      <c r="A52" s="123">
        <v>43905</v>
      </c>
      <c r="B52" s="124">
        <v>12</v>
      </c>
      <c r="C52" s="124">
        <v>0</v>
      </c>
      <c r="D52" s="122">
        <v>0</v>
      </c>
      <c r="E52" s="124">
        <v>0</v>
      </c>
    </row>
    <row r="53" spans="1:6">
      <c r="A53" s="123">
        <v>43906</v>
      </c>
      <c r="B53" s="124">
        <v>30</v>
      </c>
      <c r="C53" s="124">
        <v>0</v>
      </c>
      <c r="D53" s="124">
        <v>7</v>
      </c>
      <c r="E53" s="122">
        <v>0</v>
      </c>
      <c r="F53" s="3" t="s">
        <v>53</v>
      </c>
    </row>
    <row r="54" spans="1:6">
      <c r="A54" s="123">
        <v>43907</v>
      </c>
      <c r="B54" s="124">
        <v>321</v>
      </c>
      <c r="C54" s="122">
        <v>16</v>
      </c>
      <c r="D54" s="122">
        <v>0</v>
      </c>
      <c r="E54" s="122">
        <v>67</v>
      </c>
      <c r="F54" s="3" t="s">
        <v>54</v>
      </c>
    </row>
    <row r="55" spans="1:6">
      <c r="A55" s="123">
        <v>43908</v>
      </c>
      <c r="B55" s="124">
        <f>176+170+115</f>
        <v>461</v>
      </c>
      <c r="C55" s="122">
        <v>28</v>
      </c>
      <c r="D55" s="122">
        <v>4</v>
      </c>
      <c r="E55" s="122">
        <v>84</v>
      </c>
      <c r="F55" s="3" t="s">
        <v>55</v>
      </c>
    </row>
    <row r="56" spans="1:6">
      <c r="A56" s="123">
        <v>43909</v>
      </c>
      <c r="B56" s="124">
        <f>154+368</f>
        <v>522</v>
      </c>
      <c r="C56" s="122">
        <v>0</v>
      </c>
      <c r="D56" s="122">
        <v>6</v>
      </c>
      <c r="E56" s="124">
        <v>0</v>
      </c>
      <c r="F56" s="3" t="s">
        <v>56</v>
      </c>
    </row>
    <row r="57" spans="1:6">
      <c r="A57" s="123">
        <v>43910</v>
      </c>
      <c r="B57" s="124">
        <v>512</v>
      </c>
      <c r="C57" s="122">
        <v>127</v>
      </c>
      <c r="D57" s="122">
        <v>19</v>
      </c>
      <c r="E57" s="124">
        <v>0</v>
      </c>
      <c r="F57" s="3" t="s">
        <v>57</v>
      </c>
    </row>
    <row r="58" spans="1:6">
      <c r="A58" s="123">
        <v>43911</v>
      </c>
      <c r="B58" s="124" t="s">
        <v>19</v>
      </c>
      <c r="C58" s="122">
        <v>110</v>
      </c>
      <c r="D58" s="124">
        <v>30</v>
      </c>
      <c r="E58" s="124">
        <v>0</v>
      </c>
      <c r="F58" s="3" t="s">
        <v>58</v>
      </c>
    </row>
    <row r="59" spans="1:6">
      <c r="A59" s="123">
        <v>43912</v>
      </c>
      <c r="B59" s="124">
        <v>350</v>
      </c>
      <c r="C59" s="122">
        <v>0</v>
      </c>
      <c r="D59" s="124">
        <v>0</v>
      </c>
      <c r="E59" s="124">
        <v>0</v>
      </c>
    </row>
    <row r="60" spans="1:6">
      <c r="A60" s="123">
        <v>43913</v>
      </c>
      <c r="B60" s="124">
        <v>350</v>
      </c>
      <c r="C60" s="122">
        <v>2</v>
      </c>
      <c r="D60" s="122">
        <v>0</v>
      </c>
      <c r="E60" s="124">
        <v>0</v>
      </c>
      <c r="F60" s="3" t="s">
        <v>59</v>
      </c>
    </row>
    <row r="61" spans="1:6">
      <c r="A61" s="123">
        <v>43914</v>
      </c>
      <c r="B61" s="124">
        <v>300</v>
      </c>
      <c r="C61" s="122">
        <v>40</v>
      </c>
      <c r="D61" s="122">
        <v>4</v>
      </c>
      <c r="E61" s="124">
        <v>0</v>
      </c>
      <c r="F61" s="3" t="s">
        <v>60</v>
      </c>
    </row>
    <row r="62" spans="1:6">
      <c r="A62" s="123">
        <v>43915</v>
      </c>
      <c r="B62" s="124">
        <v>400</v>
      </c>
      <c r="C62" s="122">
        <v>40</v>
      </c>
      <c r="D62" s="124">
        <v>12</v>
      </c>
      <c r="E62" s="122">
        <v>0</v>
      </c>
      <c r="F62" s="3" t="s">
        <v>61</v>
      </c>
    </row>
    <row r="63" spans="1:6">
      <c r="A63" s="123">
        <v>43916</v>
      </c>
      <c r="B63" s="124">
        <v>300</v>
      </c>
      <c r="C63" s="124">
        <v>0</v>
      </c>
      <c r="D63" s="124">
        <v>2</v>
      </c>
      <c r="E63" s="122">
        <v>0</v>
      </c>
      <c r="F63" s="3" t="s">
        <v>62</v>
      </c>
    </row>
    <row r="64" spans="1:6">
      <c r="A64" s="123">
        <v>43917</v>
      </c>
      <c r="B64" s="124">
        <v>286</v>
      </c>
      <c r="C64" s="122">
        <v>0</v>
      </c>
      <c r="D64" s="124">
        <v>7</v>
      </c>
      <c r="E64" s="124">
        <v>0</v>
      </c>
      <c r="F64" s="3" t="s">
        <v>63</v>
      </c>
    </row>
    <row r="65" spans="1:6">
      <c r="A65" s="123">
        <v>43918</v>
      </c>
      <c r="B65" s="124" t="s">
        <v>19</v>
      </c>
      <c r="C65" s="122">
        <v>2</v>
      </c>
      <c r="D65" s="124">
        <v>6</v>
      </c>
      <c r="E65" s="124">
        <v>0</v>
      </c>
      <c r="F65" s="3" t="s">
        <v>64</v>
      </c>
    </row>
    <row r="66" spans="1:6">
      <c r="A66" s="123">
        <v>43919</v>
      </c>
      <c r="B66" s="124">
        <v>250</v>
      </c>
      <c r="C66" s="122">
        <v>18</v>
      </c>
      <c r="D66" s="124">
        <v>0</v>
      </c>
      <c r="E66" s="124">
        <v>0</v>
      </c>
    </row>
    <row r="67" spans="1:6">
      <c r="A67" s="123">
        <v>43920</v>
      </c>
      <c r="B67" s="124" t="s">
        <v>19</v>
      </c>
      <c r="C67" s="122" t="s">
        <v>19</v>
      </c>
      <c r="D67" s="124">
        <v>0</v>
      </c>
      <c r="E67" s="122">
        <v>0</v>
      </c>
    </row>
    <row r="68" spans="1:6">
      <c r="A68" s="123">
        <v>43921</v>
      </c>
      <c r="B68" s="124" t="s">
        <v>19</v>
      </c>
      <c r="C68" s="124">
        <v>20</v>
      </c>
      <c r="D68" s="124">
        <v>2</v>
      </c>
      <c r="E68" s="124">
        <v>0</v>
      </c>
      <c r="F68" s="3" t="s">
        <v>65</v>
      </c>
    </row>
    <row r="69" spans="1:6">
      <c r="A69" s="123">
        <v>43922</v>
      </c>
      <c r="B69" s="124" t="s">
        <v>19</v>
      </c>
      <c r="C69" s="124">
        <v>3</v>
      </c>
      <c r="D69" s="124">
        <v>0</v>
      </c>
      <c r="E69" s="122">
        <v>0</v>
      </c>
    </row>
    <row r="70" spans="1:6">
      <c r="A70" s="123">
        <v>43923</v>
      </c>
      <c r="B70" s="124" t="s">
        <v>19</v>
      </c>
      <c r="C70" s="124" t="s">
        <v>19</v>
      </c>
      <c r="D70" s="124">
        <v>0</v>
      </c>
      <c r="E70" s="122">
        <v>0</v>
      </c>
    </row>
    <row r="71" spans="1:6">
      <c r="A71" s="123">
        <v>43924</v>
      </c>
      <c r="B71" s="124" t="s">
        <v>19</v>
      </c>
      <c r="C71" s="122" t="s">
        <v>19</v>
      </c>
      <c r="D71" s="124" t="s">
        <v>19</v>
      </c>
      <c r="E71" s="124" t="s">
        <v>19</v>
      </c>
    </row>
    <row r="72" spans="1:6">
      <c r="A72" s="123">
        <v>43925</v>
      </c>
      <c r="B72" s="124" t="s">
        <v>19</v>
      </c>
      <c r="C72" s="124" t="s">
        <v>19</v>
      </c>
      <c r="D72" s="124" t="s">
        <v>19</v>
      </c>
      <c r="E72" s="124" t="s">
        <v>19</v>
      </c>
    </row>
    <row r="73" spans="1:6">
      <c r="A73" s="123">
        <v>43926</v>
      </c>
      <c r="B73" s="124">
        <v>250</v>
      </c>
      <c r="C73" s="124">
        <v>0</v>
      </c>
      <c r="D73" s="124">
        <v>0</v>
      </c>
      <c r="E73" s="124">
        <v>0</v>
      </c>
    </row>
    <row r="74" spans="1:6">
      <c r="A74" s="123">
        <v>43927</v>
      </c>
      <c r="B74" s="124">
        <v>220</v>
      </c>
      <c r="C74" s="124">
        <v>68</v>
      </c>
      <c r="D74" s="124">
        <v>0</v>
      </c>
      <c r="E74" s="124">
        <v>0</v>
      </c>
    </row>
    <row r="75" spans="1:6">
      <c r="A75" s="123">
        <v>43928</v>
      </c>
      <c r="B75" s="124">
        <v>169</v>
      </c>
      <c r="C75" s="124">
        <v>63</v>
      </c>
      <c r="D75" s="124">
        <v>0</v>
      </c>
      <c r="E75" s="124">
        <v>0</v>
      </c>
    </row>
    <row r="76" spans="1:6">
      <c r="A76" s="123">
        <v>43929</v>
      </c>
      <c r="B76" s="124">
        <v>328</v>
      </c>
      <c r="C76" s="124">
        <v>45</v>
      </c>
      <c r="D76" s="124">
        <v>0</v>
      </c>
      <c r="E76" s="124">
        <v>0</v>
      </c>
    </row>
    <row r="77" spans="1:6">
      <c r="A77" s="123">
        <v>43930</v>
      </c>
      <c r="B77" s="124">
        <v>274</v>
      </c>
      <c r="C77" s="124">
        <v>76</v>
      </c>
      <c r="D77" s="124">
        <v>0</v>
      </c>
      <c r="E77" s="124">
        <v>0</v>
      </c>
    </row>
    <row r="78" spans="1:6">
      <c r="A78" s="123">
        <v>43934</v>
      </c>
      <c r="B78" s="124">
        <v>224</v>
      </c>
      <c r="C78" s="122">
        <v>73</v>
      </c>
      <c r="D78" s="124">
        <v>0</v>
      </c>
      <c r="E78" s="124">
        <v>0</v>
      </c>
    </row>
    <row r="79" spans="1:6">
      <c r="A79" s="123">
        <v>43935</v>
      </c>
      <c r="B79" s="124">
        <v>172</v>
      </c>
      <c r="C79" s="122">
        <v>244</v>
      </c>
      <c r="D79" s="124">
        <v>0</v>
      </c>
      <c r="E79" s="122">
        <v>0</v>
      </c>
    </row>
    <row r="80" spans="1:6">
      <c r="A80" s="123">
        <v>43936</v>
      </c>
      <c r="B80" s="124">
        <v>157</v>
      </c>
      <c r="C80" s="80">
        <v>245</v>
      </c>
      <c r="D80" s="84">
        <v>0</v>
      </c>
      <c r="E80" s="80">
        <v>0</v>
      </c>
    </row>
    <row r="81" spans="1:5">
      <c r="A81" s="123">
        <v>43937</v>
      </c>
      <c r="B81" s="124">
        <v>113</v>
      </c>
      <c r="C81" s="80">
        <v>334</v>
      </c>
      <c r="D81" s="84">
        <v>0</v>
      </c>
      <c r="E81" s="80">
        <v>0</v>
      </c>
    </row>
    <row r="82" spans="1:5">
      <c r="A82" s="123">
        <v>43938</v>
      </c>
      <c r="B82" s="124">
        <v>99</v>
      </c>
      <c r="C82" s="80">
        <v>242</v>
      </c>
      <c r="D82" s="84">
        <v>0</v>
      </c>
      <c r="E82" s="80">
        <v>0</v>
      </c>
    </row>
    <row r="83" spans="1:5">
      <c r="A83" s="123">
        <v>43939</v>
      </c>
      <c r="B83" s="124">
        <v>58</v>
      </c>
      <c r="C83" s="80">
        <v>178</v>
      </c>
      <c r="D83" s="84">
        <v>0</v>
      </c>
      <c r="E83" s="80">
        <v>0</v>
      </c>
    </row>
    <row r="84" spans="1:5">
      <c r="A84" s="123">
        <v>43940</v>
      </c>
      <c r="B84" s="124">
        <v>120</v>
      </c>
      <c r="C84" s="80">
        <v>185</v>
      </c>
      <c r="D84" s="84">
        <v>0</v>
      </c>
      <c r="E84" s="80">
        <v>0</v>
      </c>
    </row>
    <row r="85" spans="1:5">
      <c r="A85" s="123">
        <v>43942</v>
      </c>
      <c r="B85" s="124">
        <v>49</v>
      </c>
      <c r="C85" s="80">
        <v>76</v>
      </c>
      <c r="D85" s="84">
        <v>0</v>
      </c>
      <c r="E85" s="80">
        <v>0</v>
      </c>
    </row>
    <row r="86" spans="1:5">
      <c r="A86" s="123">
        <v>43943</v>
      </c>
      <c r="B86" s="124">
        <v>39</v>
      </c>
      <c r="C86" s="80">
        <v>51</v>
      </c>
      <c r="D86" s="84">
        <v>0</v>
      </c>
      <c r="E86" s="80">
        <v>0</v>
      </c>
    </row>
    <row r="87" spans="1:5">
      <c r="A87" s="123">
        <v>43944</v>
      </c>
      <c r="B87" s="124">
        <v>10</v>
      </c>
      <c r="C87" s="80">
        <v>35</v>
      </c>
      <c r="D87" s="84">
        <v>0</v>
      </c>
      <c r="E87" s="80">
        <v>0</v>
      </c>
    </row>
    <row r="88" spans="1:5">
      <c r="A88" s="123">
        <v>43946</v>
      </c>
      <c r="B88" s="124">
        <v>3</v>
      </c>
      <c r="C88" s="80">
        <v>36</v>
      </c>
      <c r="D88" s="84">
        <v>0</v>
      </c>
      <c r="E88" s="80">
        <v>0</v>
      </c>
    </row>
    <row r="89" spans="1:5">
      <c r="A89" s="123">
        <v>43947</v>
      </c>
      <c r="B89" s="124">
        <v>3</v>
      </c>
      <c r="C89" s="80">
        <v>35</v>
      </c>
      <c r="D89" s="84">
        <v>0</v>
      </c>
      <c r="E89" s="80">
        <v>0</v>
      </c>
    </row>
    <row r="90" spans="1:5">
      <c r="A90" s="123">
        <v>43948</v>
      </c>
      <c r="B90" s="124">
        <v>26</v>
      </c>
      <c r="C90" s="80">
        <v>34</v>
      </c>
      <c r="D90" s="84">
        <v>0</v>
      </c>
      <c r="E90" s="80">
        <v>0</v>
      </c>
    </row>
    <row r="91" spans="1:5">
      <c r="A91" s="123">
        <v>43949</v>
      </c>
      <c r="B91" s="124">
        <v>27</v>
      </c>
      <c r="C91" s="80">
        <v>21</v>
      </c>
      <c r="D91" s="84">
        <v>0</v>
      </c>
      <c r="E91" s="80">
        <v>0</v>
      </c>
    </row>
    <row r="92" spans="1:5">
      <c r="A92" s="123">
        <v>43950</v>
      </c>
      <c r="B92" s="124">
        <v>0</v>
      </c>
      <c r="C92" s="80">
        <v>38</v>
      </c>
      <c r="D92" s="84">
        <v>0</v>
      </c>
      <c r="E92" s="80">
        <v>0</v>
      </c>
    </row>
    <row r="93" spans="1:5">
      <c r="A93" s="123">
        <v>43951</v>
      </c>
      <c r="B93" s="124">
        <v>26</v>
      </c>
      <c r="C93" s="80">
        <v>9</v>
      </c>
      <c r="D93" s="84">
        <v>0</v>
      </c>
      <c r="E93" s="80">
        <v>0</v>
      </c>
    </row>
    <row r="94" spans="1:5">
      <c r="A94" s="123">
        <v>43952</v>
      </c>
      <c r="B94" s="124">
        <v>7</v>
      </c>
      <c r="C94" s="80">
        <v>14</v>
      </c>
      <c r="D94" s="84">
        <v>0</v>
      </c>
      <c r="E94" s="80">
        <v>0</v>
      </c>
    </row>
    <row r="95" spans="1:5">
      <c r="A95" s="123">
        <v>43953</v>
      </c>
      <c r="B95" s="124">
        <v>9</v>
      </c>
      <c r="C95" s="80">
        <v>16</v>
      </c>
      <c r="D95" s="84">
        <v>0</v>
      </c>
      <c r="E95" s="80">
        <v>0</v>
      </c>
    </row>
    <row r="96" spans="1:5">
      <c r="A96" s="123">
        <v>43954</v>
      </c>
      <c r="B96" s="124">
        <v>8</v>
      </c>
      <c r="C96" s="80">
        <v>9</v>
      </c>
      <c r="D96" s="84">
        <v>0</v>
      </c>
      <c r="E96" s="80">
        <v>0</v>
      </c>
    </row>
    <row r="97" spans="1:5">
      <c r="A97" s="123">
        <v>43955</v>
      </c>
      <c r="B97" s="124">
        <v>5</v>
      </c>
      <c r="C97" s="80">
        <v>8</v>
      </c>
      <c r="D97" s="84">
        <v>0</v>
      </c>
      <c r="E97" s="80">
        <v>0</v>
      </c>
    </row>
    <row r="98" spans="1:5">
      <c r="A98" s="123">
        <v>43956</v>
      </c>
      <c r="B98" s="124">
        <v>8</v>
      </c>
      <c r="C98" s="80">
        <v>9</v>
      </c>
      <c r="D98" s="84">
        <v>0</v>
      </c>
      <c r="E98" s="80">
        <v>0</v>
      </c>
    </row>
    <row r="99" spans="1:5" s="83" customFormat="1">
      <c r="A99" s="170">
        <v>43957</v>
      </c>
      <c r="B99" s="171">
        <v>6</v>
      </c>
      <c r="C99" s="96">
        <v>1</v>
      </c>
      <c r="D99" s="85">
        <v>0</v>
      </c>
      <c r="E99" s="162">
        <v>0</v>
      </c>
    </row>
    <row r="100" spans="1:5">
      <c r="A100" s="67">
        <v>43960</v>
      </c>
      <c r="B100" s="3">
        <v>24</v>
      </c>
      <c r="C100" s="3">
        <v>1</v>
      </c>
      <c r="D100" s="3">
        <v>0</v>
      </c>
      <c r="E100" s="3">
        <v>0</v>
      </c>
    </row>
    <row r="101" spans="1:5">
      <c r="A101" s="81">
        <v>43961</v>
      </c>
      <c r="B101" s="161">
        <v>24</v>
      </c>
      <c r="C101" s="82">
        <v>1</v>
      </c>
      <c r="D101" s="82">
        <v>0</v>
      </c>
      <c r="E101" s="82">
        <v>0</v>
      </c>
    </row>
    <row r="102" spans="1:5">
      <c r="A102" s="81">
        <v>43962</v>
      </c>
      <c r="B102" s="161">
        <v>24</v>
      </c>
      <c r="C102" s="82">
        <v>2</v>
      </c>
      <c r="D102" s="82">
        <v>0</v>
      </c>
      <c r="E102" s="82">
        <v>0</v>
      </c>
    </row>
    <row r="103" spans="1:5">
      <c r="A103" s="81"/>
      <c r="B103" s="81"/>
      <c r="C103" s="82"/>
      <c r="D103" s="82"/>
      <c r="E103" s="82"/>
    </row>
    <row r="104" spans="1:5">
      <c r="A104" s="81"/>
      <c r="B104" s="81"/>
      <c r="C104" s="82"/>
      <c r="D104" s="82"/>
      <c r="E104" s="82"/>
    </row>
    <row r="105" spans="1:5">
      <c r="A105" s="81"/>
      <c r="B105" s="81"/>
      <c r="C105" s="82"/>
      <c r="D105" s="82"/>
      <c r="E105" s="82"/>
    </row>
    <row r="106" spans="1:5">
      <c r="A106" s="81"/>
      <c r="B106" s="81"/>
      <c r="C106" s="82"/>
      <c r="D106" s="82"/>
      <c r="E106" s="82"/>
    </row>
    <row r="107" spans="1:5">
      <c r="A107" s="81"/>
      <c r="B107" s="81"/>
      <c r="C107" s="82"/>
      <c r="D107" s="82"/>
      <c r="E107" s="82"/>
    </row>
    <row r="108" spans="1:5">
      <c r="A108" s="81"/>
      <c r="B108" s="81"/>
      <c r="C108" s="82"/>
      <c r="D108" s="82"/>
      <c r="E108" s="82"/>
    </row>
    <row r="109" spans="1:5">
      <c r="A109" s="81"/>
      <c r="B109" s="81"/>
      <c r="C109" s="82"/>
      <c r="D109" s="82"/>
      <c r="E109" s="82"/>
    </row>
    <row r="110" spans="1:5">
      <c r="A110" s="81"/>
      <c r="B110" s="81"/>
      <c r="C110" s="82"/>
      <c r="D110" s="82"/>
      <c r="E110" s="82"/>
    </row>
    <row r="111" spans="1:5">
      <c r="A111" s="81"/>
      <c r="B111" s="81"/>
      <c r="C111" s="82"/>
      <c r="D111" s="82"/>
      <c r="E111" s="82"/>
    </row>
    <row r="112" spans="1:5">
      <c r="A112" s="81"/>
      <c r="B112" s="81"/>
      <c r="C112" s="82"/>
      <c r="D112" s="82"/>
      <c r="E112" s="82"/>
    </row>
    <row r="113" spans="1:5">
      <c r="A113" s="81"/>
      <c r="B113" s="81"/>
      <c r="C113" s="82"/>
      <c r="D113" s="82"/>
      <c r="E113" s="82"/>
    </row>
    <row r="114" spans="1:5">
      <c r="A114" s="81"/>
      <c r="B114" s="81"/>
      <c r="C114" s="82"/>
      <c r="D114" s="82"/>
      <c r="E114" s="82"/>
    </row>
    <row r="115" spans="1:5">
      <c r="A115" s="81"/>
      <c r="B115" s="81"/>
      <c r="C115" s="82"/>
      <c r="D115" s="82"/>
      <c r="E115" s="82"/>
    </row>
    <row r="116" spans="1:5">
      <c r="A116" s="81"/>
      <c r="B116" s="81"/>
      <c r="C116" s="82"/>
      <c r="D116" s="82"/>
      <c r="E116" s="82"/>
    </row>
    <row r="117" spans="1:5">
      <c r="A117" s="81"/>
      <c r="B117" s="81"/>
      <c r="C117" s="82"/>
      <c r="D117" s="82"/>
      <c r="E117" s="82"/>
    </row>
    <row r="118" spans="1:5">
      <c r="A118" s="81"/>
      <c r="B118" s="81"/>
      <c r="C118" s="82"/>
      <c r="D118" s="82"/>
      <c r="E118" s="82"/>
    </row>
    <row r="119" spans="1:5">
      <c r="A119" s="81"/>
      <c r="B119" s="81"/>
      <c r="C119" s="82"/>
      <c r="D119" s="82"/>
      <c r="E119" s="82"/>
    </row>
    <row r="120" spans="1:5">
      <c r="A120" s="81"/>
      <c r="B120" s="81"/>
      <c r="C120" s="82"/>
      <c r="D120" s="82"/>
      <c r="E120" s="82"/>
    </row>
    <row r="121" spans="1:5">
      <c r="A121" s="81"/>
      <c r="B121" s="81"/>
      <c r="C121" s="82"/>
      <c r="D121" s="82"/>
      <c r="E121" s="82"/>
    </row>
    <row r="122" spans="1:5">
      <c r="A122" s="81"/>
      <c r="B122" s="81"/>
      <c r="C122" s="82"/>
      <c r="D122" s="82"/>
      <c r="E122" s="82"/>
    </row>
    <row r="123" spans="1:5">
      <c r="A123" s="81"/>
      <c r="B123" s="81"/>
      <c r="C123" s="82"/>
      <c r="D123" s="82"/>
      <c r="E123" s="82"/>
    </row>
    <row r="124" spans="1:5">
      <c r="A124" s="81"/>
      <c r="B124" s="81"/>
      <c r="C124" s="82"/>
      <c r="D124" s="82"/>
      <c r="E124" s="82"/>
    </row>
    <row r="125" spans="1:5">
      <c r="A125" s="81"/>
      <c r="B125" s="81"/>
      <c r="C125" s="82"/>
      <c r="D125" s="82"/>
      <c r="E125" s="82"/>
    </row>
    <row r="126" spans="1:5">
      <c r="A126" s="81"/>
      <c r="B126" s="81"/>
      <c r="C126" s="82"/>
      <c r="D126" s="82"/>
      <c r="E126" s="82"/>
    </row>
    <row r="127" spans="1:5">
      <c r="A127" s="81"/>
      <c r="B127" s="81"/>
      <c r="C127" s="82"/>
      <c r="D127" s="82"/>
      <c r="E127" s="82"/>
    </row>
    <row r="128" spans="1:5">
      <c r="A128" s="81"/>
      <c r="B128" s="81"/>
      <c r="C128" s="82"/>
      <c r="D128" s="82"/>
      <c r="E128" s="82"/>
    </row>
    <row r="129" spans="1:5">
      <c r="A129" s="81"/>
      <c r="B129" s="81"/>
      <c r="C129" s="82"/>
      <c r="D129" s="82"/>
      <c r="E129" s="82"/>
    </row>
    <row r="130" spans="1:5">
      <c r="A130" s="81"/>
      <c r="B130" s="81"/>
      <c r="C130" s="82"/>
      <c r="D130" s="82"/>
      <c r="E130" s="82"/>
    </row>
    <row r="131" spans="1:5">
      <c r="A131" s="81"/>
      <c r="B131" s="81"/>
      <c r="C131" s="82"/>
      <c r="D131" s="82"/>
      <c r="E131" s="82"/>
    </row>
    <row r="132" spans="1:5">
      <c r="A132" s="81"/>
      <c r="B132" s="81"/>
      <c r="C132" s="82"/>
      <c r="D132" s="82"/>
      <c r="E132" s="82"/>
    </row>
    <row r="133" spans="1:5">
      <c r="A133" s="81"/>
      <c r="B133" s="81"/>
      <c r="C133" s="82"/>
      <c r="D133" s="82"/>
      <c r="E133" s="82"/>
    </row>
    <row r="134" spans="1:5">
      <c r="A134" s="81"/>
      <c r="B134" s="81"/>
      <c r="C134" s="82"/>
      <c r="D134" s="82"/>
      <c r="E134" s="82"/>
    </row>
    <row r="135" spans="1:5">
      <c r="A135" s="81"/>
      <c r="B135" s="81"/>
      <c r="C135" s="82"/>
      <c r="D135" s="82"/>
      <c r="E135" s="82"/>
    </row>
    <row r="136" spans="1:5">
      <c r="A136" s="81"/>
      <c r="B136" s="81"/>
      <c r="C136" s="82"/>
      <c r="D136" s="82"/>
      <c r="E136" s="82"/>
    </row>
    <row r="137" spans="1:5">
      <c r="A137" s="81"/>
      <c r="B137" s="81"/>
      <c r="C137" s="82"/>
      <c r="D137" s="82"/>
      <c r="E137" s="82"/>
    </row>
    <row r="138" spans="1:5">
      <c r="A138" s="81"/>
      <c r="B138" s="81"/>
      <c r="C138" s="82"/>
      <c r="D138" s="82"/>
      <c r="E138" s="82"/>
    </row>
    <row r="139" spans="1:5">
      <c r="A139" s="81"/>
      <c r="B139" s="81"/>
      <c r="C139" s="82"/>
      <c r="D139" s="82"/>
      <c r="E139" s="82"/>
    </row>
    <row r="140" spans="1:5">
      <c r="A140" s="81"/>
      <c r="B140" s="81"/>
      <c r="C140" s="82"/>
      <c r="D140" s="82"/>
      <c r="E140" s="82"/>
    </row>
    <row r="141" spans="1:5">
      <c r="A141" s="81"/>
      <c r="B141" s="81"/>
      <c r="C141" s="82"/>
      <c r="D141" s="82"/>
      <c r="E141" s="82"/>
    </row>
    <row r="142" spans="1:5">
      <c r="A142" s="81"/>
      <c r="B142" s="81"/>
      <c r="C142" s="82"/>
      <c r="D142" s="82"/>
      <c r="E142" s="82"/>
    </row>
    <row r="143" spans="1:5">
      <c r="A143" s="81"/>
      <c r="B143" s="81"/>
      <c r="C143" s="82"/>
      <c r="D143" s="82"/>
      <c r="E143" s="82"/>
    </row>
    <row r="144" spans="1:5">
      <c r="A144" s="81"/>
      <c r="B144" s="81"/>
      <c r="C144" s="82"/>
      <c r="D144" s="82"/>
      <c r="E144" s="82"/>
    </row>
    <row r="145" spans="1:5">
      <c r="A145" s="81"/>
      <c r="B145" s="81"/>
      <c r="C145" s="82"/>
      <c r="D145" s="82"/>
      <c r="E145" s="82"/>
    </row>
    <row r="146" spans="1:5">
      <c r="A146" s="81"/>
      <c r="B146" s="81"/>
      <c r="C146" s="82"/>
      <c r="D146" s="82"/>
      <c r="E146" s="82"/>
    </row>
    <row r="147" spans="1:5">
      <c r="A147" s="81"/>
      <c r="B147" s="81"/>
      <c r="C147" s="82"/>
      <c r="D147" s="82"/>
      <c r="E147" s="82"/>
    </row>
    <row r="148" spans="1:5">
      <c r="A148" s="81"/>
      <c r="B148" s="81"/>
      <c r="C148" s="82"/>
      <c r="D148" s="82"/>
      <c r="E148" s="82"/>
    </row>
    <row r="149" spans="1:5">
      <c r="A149" s="81"/>
      <c r="B149" s="81"/>
      <c r="C149" s="82"/>
      <c r="D149" s="82"/>
      <c r="E149" s="82"/>
    </row>
    <row r="150" spans="1:5">
      <c r="A150" s="81"/>
      <c r="B150" s="81"/>
      <c r="C150" s="82"/>
      <c r="D150" s="82"/>
      <c r="E150" s="82"/>
    </row>
    <row r="151" spans="1:5">
      <c r="A151" s="81"/>
      <c r="B151" s="81"/>
      <c r="C151" s="82"/>
      <c r="D151" s="82"/>
      <c r="E151" s="82"/>
    </row>
    <row r="152" spans="1:5">
      <c r="A152" s="81"/>
      <c r="B152" s="81"/>
      <c r="C152" s="82"/>
      <c r="D152" s="82"/>
      <c r="E152" s="82"/>
    </row>
    <row r="153" spans="1:5">
      <c r="A153" s="81"/>
      <c r="B153" s="81"/>
      <c r="C153" s="82"/>
      <c r="D153" s="82"/>
      <c r="E153" s="82"/>
    </row>
    <row r="154" spans="1:5">
      <c r="A154" s="81"/>
      <c r="B154" s="81"/>
      <c r="C154" s="82"/>
      <c r="D154" s="82"/>
      <c r="E154" s="82"/>
    </row>
    <row r="155" spans="1:5">
      <c r="A155" s="81"/>
      <c r="B155" s="81"/>
      <c r="C155" s="82"/>
      <c r="D155" s="82"/>
      <c r="E155" s="82"/>
    </row>
    <row r="156" spans="1:5">
      <c r="A156" s="81"/>
      <c r="B156" s="81"/>
      <c r="C156" s="82"/>
      <c r="D156" s="82"/>
      <c r="E156" s="82"/>
    </row>
    <row r="157" spans="1:5">
      <c r="A157" s="81"/>
      <c r="B157" s="81"/>
      <c r="C157" s="82"/>
      <c r="D157" s="82"/>
      <c r="E157" s="82"/>
    </row>
    <row r="158" spans="1:5">
      <c r="A158" s="81"/>
      <c r="B158" s="81"/>
      <c r="C158" s="82"/>
      <c r="D158" s="82"/>
      <c r="E158" s="82"/>
    </row>
    <row r="159" spans="1:5">
      <c r="A159" s="81"/>
      <c r="B159" s="81"/>
      <c r="C159" s="82"/>
      <c r="D159" s="82"/>
      <c r="E159" s="82"/>
    </row>
    <row r="160" spans="1:5">
      <c r="A160" s="81"/>
      <c r="B160" s="81"/>
      <c r="C160" s="82"/>
      <c r="D160" s="82"/>
      <c r="E160" s="82"/>
    </row>
    <row r="161" spans="1:5">
      <c r="A161" s="81"/>
      <c r="B161" s="81"/>
      <c r="C161" s="82"/>
      <c r="D161" s="82"/>
      <c r="E161" s="82"/>
    </row>
    <row r="162" spans="1:5">
      <c r="A162" s="81"/>
      <c r="B162" s="81"/>
      <c r="C162" s="82"/>
      <c r="D162" s="82"/>
      <c r="E162" s="82"/>
    </row>
    <row r="163" spans="1:5">
      <c r="A163" s="81"/>
      <c r="B163" s="81"/>
      <c r="C163" s="82"/>
      <c r="D163" s="82"/>
      <c r="E163" s="82"/>
    </row>
    <row r="164" spans="1:5">
      <c r="A164" s="81"/>
      <c r="B164" s="81"/>
      <c r="C164" s="82"/>
      <c r="D164" s="82"/>
      <c r="E164" s="82"/>
    </row>
    <row r="165" spans="1:5">
      <c r="A165" s="81"/>
      <c r="B165" s="81"/>
      <c r="C165" s="82"/>
      <c r="D165" s="82"/>
      <c r="E165" s="82"/>
    </row>
    <row r="166" spans="1:5">
      <c r="A166" s="81"/>
      <c r="B166" s="81"/>
      <c r="C166" s="82"/>
      <c r="D166" s="82"/>
      <c r="E166" s="82"/>
    </row>
    <row r="167" spans="1:5">
      <c r="A167" s="81"/>
      <c r="B167" s="81"/>
      <c r="C167" s="82"/>
      <c r="D167" s="82"/>
      <c r="E167" s="82"/>
    </row>
    <row r="168" spans="1:5">
      <c r="A168" s="81"/>
      <c r="B168" s="81"/>
      <c r="C168" s="82"/>
      <c r="D168" s="82"/>
      <c r="E168" s="82"/>
    </row>
    <row r="169" spans="1:5">
      <c r="A169" s="81"/>
      <c r="B169" s="81"/>
      <c r="C169" s="82"/>
      <c r="D169" s="82"/>
      <c r="E169" s="82"/>
    </row>
    <row r="170" spans="1:5">
      <c r="A170" s="81"/>
      <c r="B170" s="81"/>
      <c r="C170" s="82"/>
      <c r="D170" s="82"/>
      <c r="E170" s="82"/>
    </row>
    <row r="171" spans="1:5">
      <c r="A171" s="81"/>
      <c r="B171" s="81"/>
      <c r="C171" s="82"/>
      <c r="D171" s="82"/>
      <c r="E171" s="82"/>
    </row>
    <row r="172" spans="1:5">
      <c r="A172" s="81"/>
      <c r="B172" s="81"/>
      <c r="C172" s="82"/>
      <c r="D172" s="82"/>
      <c r="E172" s="82"/>
    </row>
    <row r="173" spans="1:5">
      <c r="A173" s="81"/>
      <c r="B173" s="81"/>
      <c r="C173" s="82"/>
      <c r="D173" s="82"/>
      <c r="E173" s="82"/>
    </row>
    <row r="174" spans="1:5">
      <c r="A174" s="81"/>
      <c r="B174" s="81"/>
      <c r="C174" s="82"/>
      <c r="D174" s="82"/>
      <c r="E174" s="82"/>
    </row>
    <row r="175" spans="1:5">
      <c r="A175" s="81"/>
      <c r="B175" s="81"/>
      <c r="C175" s="82"/>
      <c r="D175" s="82"/>
      <c r="E175" s="82"/>
    </row>
    <row r="176" spans="1:5">
      <c r="A176" s="81"/>
      <c r="B176" s="81"/>
      <c r="C176" s="82"/>
      <c r="D176" s="82"/>
      <c r="E176" s="82"/>
    </row>
    <row r="177" spans="1:5">
      <c r="A177" s="81"/>
      <c r="B177" s="81"/>
      <c r="C177" s="82"/>
      <c r="D177" s="82"/>
      <c r="E177" s="82"/>
    </row>
    <row r="178" spans="1:5">
      <c r="A178" s="81"/>
      <c r="B178" s="81"/>
      <c r="C178" s="82"/>
      <c r="D178" s="82"/>
      <c r="E178" s="82"/>
    </row>
    <row r="179" spans="1:5">
      <c r="A179" s="81"/>
      <c r="B179" s="81"/>
      <c r="C179" s="82"/>
      <c r="D179" s="82"/>
      <c r="E179" s="82"/>
    </row>
    <row r="180" spans="1:5">
      <c r="A180" s="81"/>
      <c r="B180" s="81"/>
      <c r="C180" s="82"/>
      <c r="D180" s="82"/>
      <c r="E180" s="82"/>
    </row>
    <row r="181" spans="1:5">
      <c r="A181" s="81"/>
      <c r="B181" s="81"/>
      <c r="C181" s="82"/>
      <c r="D181" s="82"/>
      <c r="E181" s="82"/>
    </row>
    <row r="182" spans="1:5">
      <c r="A182" s="81"/>
      <c r="B182" s="81"/>
      <c r="C182" s="82"/>
      <c r="D182" s="82"/>
      <c r="E182" s="82"/>
    </row>
    <row r="183" spans="1:5">
      <c r="A183" s="81"/>
      <c r="B183" s="81"/>
      <c r="C183" s="82"/>
      <c r="D183" s="82"/>
      <c r="E183" s="82"/>
    </row>
    <row r="184" spans="1:5">
      <c r="A184" s="81"/>
      <c r="B184" s="81"/>
      <c r="C184" s="82"/>
      <c r="D184" s="82"/>
      <c r="E184" s="82"/>
    </row>
    <row r="185" spans="1:5">
      <c r="A185" s="81"/>
      <c r="B185" s="81"/>
      <c r="C185" s="82"/>
      <c r="D185" s="82"/>
      <c r="E185" s="82"/>
    </row>
    <row r="186" spans="1:5">
      <c r="A186" s="81"/>
      <c r="B186" s="81"/>
      <c r="C186" s="82"/>
      <c r="D186" s="82"/>
      <c r="E186" s="82"/>
    </row>
    <row r="187" spans="1:5">
      <c r="A187" s="81"/>
      <c r="B187" s="81"/>
      <c r="C187" s="82"/>
      <c r="D187" s="82"/>
      <c r="E187" s="82"/>
    </row>
    <row r="188" spans="1:5">
      <c r="A188" s="81"/>
      <c r="B188" s="81"/>
      <c r="C188" s="82"/>
      <c r="D188" s="82"/>
      <c r="E188" s="82"/>
    </row>
    <row r="189" spans="1:5">
      <c r="A189" s="81"/>
      <c r="B189" s="81"/>
      <c r="C189" s="82"/>
      <c r="D189" s="82"/>
      <c r="E189" s="82"/>
    </row>
    <row r="190" spans="1:5">
      <c r="A190" s="34"/>
      <c r="B190" s="34"/>
    </row>
    <row r="191" spans="1:5">
      <c r="A191" s="34"/>
      <c r="B191" s="34"/>
    </row>
    <row r="192" spans="1:5">
      <c r="A192" s="34"/>
      <c r="B192" s="34"/>
    </row>
    <row r="193" spans="1:2">
      <c r="A193" s="34"/>
      <c r="B193" s="34"/>
    </row>
    <row r="194" spans="1:2">
      <c r="A194" s="34"/>
      <c r="B194" s="34"/>
    </row>
    <row r="195" spans="1:2">
      <c r="A195" s="34"/>
      <c r="B195" s="34"/>
    </row>
    <row r="196" spans="1:2">
      <c r="A196" s="34"/>
      <c r="B196" s="34"/>
    </row>
    <row r="197" spans="1:2">
      <c r="A197" s="34"/>
      <c r="B197" s="34"/>
    </row>
    <row r="198" spans="1:2">
      <c r="A198" s="34"/>
      <c r="B198" s="34"/>
    </row>
    <row r="199" spans="1:2">
      <c r="A199" s="34"/>
      <c r="B199" s="34"/>
    </row>
    <row r="200" spans="1:2">
      <c r="A200" s="34"/>
      <c r="B200" s="34"/>
    </row>
    <row r="201" spans="1:2">
      <c r="A201" s="34"/>
      <c r="B201" s="34"/>
    </row>
    <row r="202" spans="1:2">
      <c r="A202" s="34"/>
      <c r="B202" s="34"/>
    </row>
    <row r="203" spans="1:2">
      <c r="A203" s="67"/>
      <c r="B203" s="67"/>
    </row>
    <row r="204" spans="1:2">
      <c r="A204" s="67"/>
      <c r="B204" s="67"/>
    </row>
    <row r="205" spans="1:2">
      <c r="A205" s="67"/>
      <c r="B205" s="67"/>
    </row>
    <row r="206" spans="1:2">
      <c r="A206" s="67"/>
      <c r="B206" s="67"/>
    </row>
    <row r="207" spans="1:2">
      <c r="A207" s="67"/>
      <c r="B207" s="67"/>
    </row>
    <row r="208" spans="1:2">
      <c r="A208" s="67"/>
      <c r="B208" s="67"/>
    </row>
    <row r="209" spans="1:2">
      <c r="A209" s="67"/>
      <c r="B209" s="67"/>
    </row>
  </sheetData>
  <mergeCells count="7">
    <mergeCell ref="A1:A3"/>
    <mergeCell ref="C18:F18"/>
    <mergeCell ref="G18:J18"/>
    <mergeCell ref="E2:F2"/>
    <mergeCell ref="I2:J2"/>
    <mergeCell ref="C1:F1"/>
    <mergeCell ref="G1:J1"/>
  </mergeCells>
  <phoneticPr fontId="13" type="noConversion"/>
  <pageMargins left="0.7" right="0.7" top="0.75" bottom="0.75" header="0.3" footer="0.3"/>
  <pageSetup scale="45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zoomScale="160" zoomScaleNormal="160" workbookViewId="0">
      <selection activeCell="L27" sqref="L27:M27"/>
    </sheetView>
  </sheetViews>
  <sheetFormatPr defaultColWidth="9.140625" defaultRowHeight="15"/>
  <cols>
    <col min="1" max="1" width="11.140625" style="6" bestFit="1" customWidth="1"/>
    <col min="2" max="13" width="4.7109375" style="5" customWidth="1"/>
    <col min="14" max="14" width="7" style="5" bestFit="1" customWidth="1"/>
    <col min="15" max="15" width="15.5703125" style="91" customWidth="1"/>
    <col min="16" max="16" width="42.5703125" style="175" customWidth="1"/>
    <col min="17" max="16384" width="9.140625" style="5"/>
  </cols>
  <sheetData>
    <row r="1" spans="1:16">
      <c r="A1" s="192" t="s">
        <v>7</v>
      </c>
      <c r="B1" s="195" t="s">
        <v>4</v>
      </c>
      <c r="C1" s="196"/>
      <c r="D1" s="196"/>
      <c r="E1" s="196"/>
      <c r="F1" s="196"/>
      <c r="G1" s="197"/>
      <c r="H1" s="195" t="s">
        <v>5</v>
      </c>
      <c r="I1" s="196"/>
      <c r="J1" s="196"/>
      <c r="K1" s="196"/>
      <c r="L1" s="196"/>
      <c r="M1" s="198"/>
      <c r="N1" s="174"/>
    </row>
    <row r="2" spans="1:16" ht="15" customHeight="1">
      <c r="A2" s="193"/>
      <c r="B2" s="199" t="s">
        <v>10</v>
      </c>
      <c r="C2" s="200"/>
      <c r="D2" s="199" t="s">
        <v>66</v>
      </c>
      <c r="E2" s="200"/>
      <c r="F2" s="199" t="s">
        <v>11</v>
      </c>
      <c r="G2" s="200"/>
      <c r="H2" s="199" t="s">
        <v>10</v>
      </c>
      <c r="I2" s="200"/>
      <c r="J2" s="199" t="s">
        <v>66</v>
      </c>
      <c r="K2" s="200"/>
      <c r="L2" s="199" t="s">
        <v>11</v>
      </c>
      <c r="M2" s="201"/>
      <c r="N2" s="89"/>
      <c r="O2" s="91" t="s">
        <v>67</v>
      </c>
    </row>
    <row r="3" spans="1:16" ht="15.75" thickBot="1">
      <c r="A3" s="194"/>
      <c r="B3" s="11" t="s">
        <v>68</v>
      </c>
      <c r="C3" s="8" t="s">
        <v>69</v>
      </c>
      <c r="D3" s="11" t="s">
        <v>68</v>
      </c>
      <c r="E3" s="8" t="s">
        <v>69</v>
      </c>
      <c r="F3" s="11" t="s">
        <v>68</v>
      </c>
      <c r="G3" s="8" t="s">
        <v>69</v>
      </c>
      <c r="H3" s="11" t="s">
        <v>68</v>
      </c>
      <c r="I3" s="8" t="s">
        <v>69</v>
      </c>
      <c r="J3" s="11" t="s">
        <v>68</v>
      </c>
      <c r="K3" s="8" t="s">
        <v>69</v>
      </c>
      <c r="L3" s="11" t="s">
        <v>68</v>
      </c>
      <c r="M3" s="20" t="s">
        <v>69</v>
      </c>
      <c r="N3" s="89"/>
    </row>
    <row r="4" spans="1:16">
      <c r="A4" s="87">
        <v>43898</v>
      </c>
      <c r="B4" s="88">
        <v>2</v>
      </c>
      <c r="C4" s="89">
        <v>1</v>
      </c>
      <c r="D4" s="88">
        <v>0</v>
      </c>
      <c r="E4" s="89">
        <v>0</v>
      </c>
      <c r="F4" s="88">
        <v>0</v>
      </c>
      <c r="G4" s="89">
        <v>3</v>
      </c>
      <c r="H4" s="88">
        <v>12</v>
      </c>
      <c r="I4" s="89">
        <v>4</v>
      </c>
      <c r="J4" s="88">
        <v>2</v>
      </c>
      <c r="K4" s="89">
        <v>1</v>
      </c>
      <c r="L4" s="88">
        <v>1</v>
      </c>
      <c r="M4" s="90">
        <v>6</v>
      </c>
      <c r="N4" s="89"/>
    </row>
    <row r="5" spans="1:16">
      <c r="A5" s="87">
        <v>43899</v>
      </c>
      <c r="B5" s="88">
        <v>3</v>
      </c>
      <c r="C5" s="89">
        <v>0</v>
      </c>
      <c r="D5" s="88">
        <v>3</v>
      </c>
      <c r="E5" s="89">
        <v>4</v>
      </c>
      <c r="F5" s="88">
        <v>0</v>
      </c>
      <c r="G5" s="89">
        <v>0</v>
      </c>
      <c r="H5" s="88">
        <v>9</v>
      </c>
      <c r="I5" s="89">
        <v>5</v>
      </c>
      <c r="J5" s="88">
        <v>2</v>
      </c>
      <c r="K5" s="89">
        <v>5</v>
      </c>
      <c r="L5" s="88">
        <v>1</v>
      </c>
      <c r="M5" s="90">
        <v>0</v>
      </c>
      <c r="N5" s="89"/>
    </row>
    <row r="6" spans="1:16">
      <c r="A6" s="87">
        <v>43900</v>
      </c>
      <c r="B6" s="88">
        <v>3</v>
      </c>
      <c r="C6" s="89">
        <v>1</v>
      </c>
      <c r="D6" s="88">
        <v>4</v>
      </c>
      <c r="E6" s="89">
        <v>2</v>
      </c>
      <c r="F6" s="88">
        <v>1</v>
      </c>
      <c r="G6" s="89">
        <v>4</v>
      </c>
      <c r="H6" s="88">
        <v>8</v>
      </c>
      <c r="I6" s="89">
        <v>6</v>
      </c>
      <c r="J6" s="88">
        <v>2</v>
      </c>
      <c r="K6" s="89">
        <v>1</v>
      </c>
      <c r="L6" s="88">
        <v>0</v>
      </c>
      <c r="M6" s="90">
        <v>2</v>
      </c>
      <c r="N6" s="89"/>
    </row>
    <row r="7" spans="1:16">
      <c r="A7" s="87">
        <v>43901</v>
      </c>
      <c r="B7" s="88">
        <v>1</v>
      </c>
      <c r="C7" s="89">
        <v>0</v>
      </c>
      <c r="D7" s="88">
        <v>2</v>
      </c>
      <c r="E7" s="89">
        <v>3</v>
      </c>
      <c r="F7" s="88">
        <v>1</v>
      </c>
      <c r="G7" s="89">
        <v>7</v>
      </c>
      <c r="H7" s="88">
        <v>6</v>
      </c>
      <c r="I7" s="89">
        <v>3</v>
      </c>
      <c r="J7" s="88">
        <v>3</v>
      </c>
      <c r="K7" s="89">
        <v>4</v>
      </c>
      <c r="L7" s="88">
        <v>4</v>
      </c>
      <c r="M7" s="90">
        <v>6</v>
      </c>
      <c r="N7" s="89"/>
    </row>
    <row r="8" spans="1:16">
      <c r="A8" s="87">
        <v>43902</v>
      </c>
      <c r="B8" s="88">
        <v>1</v>
      </c>
      <c r="C8" s="89">
        <v>0</v>
      </c>
      <c r="D8" s="88">
        <v>2</v>
      </c>
      <c r="E8" s="89">
        <v>1</v>
      </c>
      <c r="F8" s="88">
        <v>1</v>
      </c>
      <c r="G8" s="89">
        <v>7</v>
      </c>
      <c r="H8" s="88">
        <v>3</v>
      </c>
      <c r="I8" s="89">
        <v>5</v>
      </c>
      <c r="J8" s="88">
        <v>3</v>
      </c>
      <c r="K8" s="89">
        <v>5</v>
      </c>
      <c r="L8" s="88">
        <v>1</v>
      </c>
      <c r="M8" s="90">
        <v>6</v>
      </c>
      <c r="N8" s="89"/>
    </row>
    <row r="9" spans="1:16">
      <c r="A9" s="87">
        <v>43905</v>
      </c>
      <c r="B9" s="88">
        <v>2</v>
      </c>
      <c r="C9" s="89">
        <v>0</v>
      </c>
      <c r="D9" s="88">
        <v>1</v>
      </c>
      <c r="E9" s="89">
        <v>3</v>
      </c>
      <c r="F9" s="88">
        <v>0</v>
      </c>
      <c r="G9" s="89">
        <v>7</v>
      </c>
      <c r="H9" s="88">
        <v>12</v>
      </c>
      <c r="I9" s="89">
        <v>7</v>
      </c>
      <c r="J9" s="88">
        <v>1</v>
      </c>
      <c r="K9" s="89">
        <v>1</v>
      </c>
      <c r="L9" s="88">
        <v>1</v>
      </c>
      <c r="M9" s="90">
        <v>2</v>
      </c>
      <c r="N9" s="89"/>
      <c r="O9" s="91">
        <v>1</v>
      </c>
      <c r="P9" s="175" t="s">
        <v>70</v>
      </c>
    </row>
    <row r="10" spans="1:16">
      <c r="A10" s="87">
        <v>43906</v>
      </c>
      <c r="B10" s="88">
        <v>0</v>
      </c>
      <c r="C10" s="89">
        <v>4</v>
      </c>
      <c r="D10" s="88">
        <v>0</v>
      </c>
      <c r="E10" s="89">
        <v>0</v>
      </c>
      <c r="F10" s="88">
        <v>0</v>
      </c>
      <c r="G10" s="89">
        <v>4</v>
      </c>
      <c r="H10" s="88">
        <v>9</v>
      </c>
      <c r="I10" s="89">
        <v>7</v>
      </c>
      <c r="J10" s="88">
        <v>1</v>
      </c>
      <c r="K10" s="89">
        <v>3</v>
      </c>
      <c r="L10" s="88">
        <v>0</v>
      </c>
      <c r="M10" s="90">
        <v>7</v>
      </c>
      <c r="N10" s="176"/>
      <c r="O10" s="91">
        <v>3</v>
      </c>
      <c r="P10" s="175" t="s">
        <v>71</v>
      </c>
    </row>
    <row r="11" spans="1:16" hidden="1">
      <c r="A11" s="87"/>
      <c r="B11" s="88"/>
      <c r="C11" s="89"/>
      <c r="D11" s="88"/>
      <c r="E11" s="89"/>
      <c r="F11" s="88"/>
      <c r="G11" s="89"/>
      <c r="H11" s="88"/>
      <c r="I11" s="89"/>
      <c r="J11" s="88"/>
      <c r="K11" s="89"/>
      <c r="L11" s="88"/>
      <c r="M11" s="90"/>
      <c r="N11" s="89"/>
    </row>
    <row r="12" spans="1:16" hidden="1">
      <c r="A12" s="87"/>
      <c r="B12" s="88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90"/>
      <c r="N12" s="89"/>
    </row>
    <row r="13" spans="1:16" hidden="1">
      <c r="A13" s="87"/>
      <c r="B13" s="88"/>
      <c r="C13" s="89"/>
      <c r="D13" s="88"/>
      <c r="E13" s="89"/>
      <c r="F13" s="88"/>
      <c r="G13" s="89"/>
      <c r="H13" s="88"/>
      <c r="I13" s="89"/>
      <c r="J13" s="88"/>
      <c r="K13" s="89"/>
      <c r="L13" s="88"/>
      <c r="M13" s="90"/>
      <c r="N13" s="89"/>
    </row>
    <row r="14" spans="1:16" hidden="1">
      <c r="A14" s="87"/>
      <c r="B14" s="88"/>
      <c r="C14" s="89"/>
      <c r="D14" s="88"/>
      <c r="E14" s="89"/>
      <c r="F14" s="88"/>
      <c r="G14" s="89"/>
      <c r="H14" s="88"/>
      <c r="I14" s="89"/>
      <c r="J14" s="88"/>
      <c r="K14" s="89"/>
      <c r="L14" s="88"/>
      <c r="M14" s="90"/>
      <c r="N14" s="89"/>
    </row>
    <row r="15" spans="1:16" hidden="1">
      <c r="A15" s="87"/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90"/>
      <c r="N15" s="89"/>
    </row>
    <row r="16" spans="1:16" hidden="1">
      <c r="A16" s="87"/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90"/>
      <c r="N16" s="89"/>
    </row>
    <row r="17" spans="1:16" hidden="1">
      <c r="A17" s="87"/>
      <c r="B17" s="88"/>
      <c r="C17" s="89"/>
      <c r="D17" s="88"/>
      <c r="E17" s="89"/>
      <c r="F17" s="88"/>
      <c r="G17" s="89"/>
      <c r="H17" s="88"/>
      <c r="I17" s="89"/>
      <c r="J17" s="88"/>
      <c r="K17" s="89"/>
      <c r="L17" s="88"/>
      <c r="M17" s="90"/>
      <c r="N17" s="89"/>
    </row>
    <row r="18" spans="1:16" hidden="1">
      <c r="A18" s="87"/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90"/>
      <c r="N18" s="89"/>
    </row>
    <row r="19" spans="1:16" hidden="1">
      <c r="A19" s="87"/>
      <c r="B19" s="88"/>
      <c r="C19" s="89"/>
      <c r="D19" s="88"/>
      <c r="E19" s="89"/>
      <c r="F19" s="88"/>
      <c r="G19" s="89"/>
      <c r="H19" s="88"/>
      <c r="I19" s="89"/>
      <c r="J19" s="88"/>
      <c r="K19" s="89"/>
      <c r="L19" s="88"/>
      <c r="M19" s="90"/>
      <c r="N19" s="89"/>
    </row>
    <row r="20" spans="1:16">
      <c r="A20" s="87">
        <v>43907</v>
      </c>
      <c r="B20" s="88">
        <v>1</v>
      </c>
      <c r="C20" s="89">
        <v>2</v>
      </c>
      <c r="D20" s="88">
        <v>2</v>
      </c>
      <c r="E20" s="89">
        <v>3</v>
      </c>
      <c r="F20" s="88">
        <v>0</v>
      </c>
      <c r="G20" s="89">
        <v>5</v>
      </c>
      <c r="H20" s="88">
        <v>7</v>
      </c>
      <c r="I20" s="89">
        <v>4</v>
      </c>
      <c r="J20" s="88">
        <v>2</v>
      </c>
      <c r="K20" s="89">
        <v>6</v>
      </c>
      <c r="L20" s="88">
        <v>0</v>
      </c>
      <c r="M20" s="90">
        <v>5</v>
      </c>
      <c r="N20" s="89"/>
    </row>
    <row r="21" spans="1:16">
      <c r="A21" s="87">
        <v>43908</v>
      </c>
      <c r="B21" s="88">
        <v>0</v>
      </c>
      <c r="C21" s="89">
        <v>0</v>
      </c>
      <c r="D21" s="88">
        <v>3</v>
      </c>
      <c r="E21" s="89">
        <v>2</v>
      </c>
      <c r="F21" s="88">
        <v>1</v>
      </c>
      <c r="G21" s="89">
        <v>7</v>
      </c>
      <c r="H21" s="88">
        <v>9</v>
      </c>
      <c r="I21" s="89">
        <v>7</v>
      </c>
      <c r="J21" s="88">
        <v>2</v>
      </c>
      <c r="K21" s="89">
        <v>1</v>
      </c>
      <c r="L21" s="88">
        <v>1</v>
      </c>
      <c r="M21" s="90">
        <v>6</v>
      </c>
      <c r="N21" s="89"/>
      <c r="O21" s="91">
        <v>2</v>
      </c>
      <c r="P21" s="175" t="s">
        <v>72</v>
      </c>
    </row>
    <row r="22" spans="1:16">
      <c r="A22" s="87">
        <v>43909</v>
      </c>
      <c r="B22" s="88">
        <v>3</v>
      </c>
      <c r="C22" s="89">
        <v>2</v>
      </c>
      <c r="D22" s="88">
        <v>5</v>
      </c>
      <c r="E22" s="89">
        <v>1</v>
      </c>
      <c r="F22" s="88">
        <v>0</v>
      </c>
      <c r="G22" s="89">
        <v>6</v>
      </c>
      <c r="H22" s="88">
        <v>6</v>
      </c>
      <c r="I22" s="89">
        <v>4</v>
      </c>
      <c r="J22" s="88">
        <v>1</v>
      </c>
      <c r="K22" s="89">
        <v>2</v>
      </c>
      <c r="L22" s="88">
        <v>0</v>
      </c>
      <c r="M22" s="90">
        <v>12</v>
      </c>
      <c r="N22" s="176"/>
      <c r="O22" s="91">
        <v>2</v>
      </c>
      <c r="P22" s="175" t="s">
        <v>73</v>
      </c>
    </row>
    <row r="23" spans="1:16">
      <c r="A23" s="87">
        <v>43912</v>
      </c>
      <c r="B23" s="88">
        <v>0</v>
      </c>
      <c r="C23" s="89">
        <v>1</v>
      </c>
      <c r="D23" s="88">
        <v>0</v>
      </c>
      <c r="E23" s="89">
        <v>3</v>
      </c>
      <c r="F23" s="88">
        <v>1</v>
      </c>
      <c r="G23" s="89">
        <v>3</v>
      </c>
      <c r="H23" s="88">
        <v>9</v>
      </c>
      <c r="I23" s="89">
        <v>3</v>
      </c>
      <c r="J23" s="88">
        <v>3</v>
      </c>
      <c r="K23" s="89">
        <v>3</v>
      </c>
      <c r="L23" s="88">
        <v>0</v>
      </c>
      <c r="M23" s="90">
        <v>1</v>
      </c>
      <c r="N23" s="89"/>
      <c r="O23" s="91">
        <v>8</v>
      </c>
      <c r="P23" s="175" t="s">
        <v>74</v>
      </c>
    </row>
    <row r="24" spans="1:16">
      <c r="A24" s="87">
        <v>43913</v>
      </c>
      <c r="B24" s="88">
        <v>0</v>
      </c>
      <c r="C24" s="89">
        <v>0</v>
      </c>
      <c r="D24" s="88">
        <v>3</v>
      </c>
      <c r="E24" s="89">
        <v>3</v>
      </c>
      <c r="F24" s="88">
        <v>0</v>
      </c>
      <c r="G24" s="89">
        <v>0</v>
      </c>
      <c r="H24" s="88">
        <v>0</v>
      </c>
      <c r="I24" s="89">
        <v>0</v>
      </c>
      <c r="J24" s="88">
        <v>2</v>
      </c>
      <c r="K24" s="89">
        <v>5</v>
      </c>
      <c r="L24" s="88">
        <v>0</v>
      </c>
      <c r="M24" s="90">
        <v>3</v>
      </c>
      <c r="N24" s="89"/>
      <c r="O24" s="91">
        <v>18</v>
      </c>
      <c r="P24" s="175" t="s">
        <v>75</v>
      </c>
    </row>
    <row r="25" spans="1:16">
      <c r="A25" s="87">
        <v>43914</v>
      </c>
      <c r="B25" s="88">
        <v>0</v>
      </c>
      <c r="C25" s="89">
        <v>0</v>
      </c>
      <c r="D25" s="88">
        <v>2</v>
      </c>
      <c r="E25" s="89">
        <v>6</v>
      </c>
      <c r="F25" s="88">
        <v>0</v>
      </c>
      <c r="G25" s="89">
        <v>0</v>
      </c>
      <c r="H25" s="88">
        <v>0</v>
      </c>
      <c r="I25" s="89">
        <v>0</v>
      </c>
      <c r="J25" s="88">
        <v>6</v>
      </c>
      <c r="K25" s="89">
        <v>5</v>
      </c>
      <c r="L25" s="88">
        <v>0</v>
      </c>
      <c r="M25" s="90">
        <v>2</v>
      </c>
      <c r="N25" s="89"/>
      <c r="O25" s="91">
        <v>14</v>
      </c>
      <c r="P25" s="175" t="s">
        <v>76</v>
      </c>
    </row>
    <row r="26" spans="1:16">
      <c r="A26" s="21">
        <v>43915</v>
      </c>
      <c r="B26" s="10">
        <v>0</v>
      </c>
      <c r="C26" s="86">
        <v>0</v>
      </c>
      <c r="D26" s="10">
        <v>1</v>
      </c>
      <c r="E26" s="86">
        <v>8</v>
      </c>
      <c r="F26" s="10">
        <v>0</v>
      </c>
      <c r="G26" s="86">
        <v>0</v>
      </c>
      <c r="H26" s="10">
        <v>0</v>
      </c>
      <c r="I26" s="86">
        <v>0</v>
      </c>
      <c r="J26" s="10">
        <v>4</v>
      </c>
      <c r="K26" s="86">
        <v>8</v>
      </c>
      <c r="L26" s="10">
        <v>0</v>
      </c>
      <c r="M26" s="22">
        <v>0</v>
      </c>
      <c r="N26" s="89"/>
      <c r="O26" s="91">
        <v>51</v>
      </c>
      <c r="P26" s="175" t="s">
        <v>77</v>
      </c>
    </row>
    <row r="27" spans="1:16" ht="15.75" thickBot="1">
      <c r="A27" s="92" t="s">
        <v>25</v>
      </c>
      <c r="B27" s="93">
        <f t="shared" ref="B27:M27" si="0">SUM(B4:B26)</f>
        <v>16</v>
      </c>
      <c r="C27" s="94">
        <f t="shared" si="0"/>
        <v>11</v>
      </c>
      <c r="D27" s="93">
        <f t="shared" si="0"/>
        <v>28</v>
      </c>
      <c r="E27" s="94">
        <f t="shared" si="0"/>
        <v>39</v>
      </c>
      <c r="F27" s="93">
        <f t="shared" si="0"/>
        <v>5</v>
      </c>
      <c r="G27" s="94">
        <f t="shared" si="0"/>
        <v>53</v>
      </c>
      <c r="H27" s="93">
        <f t="shared" si="0"/>
        <v>90</v>
      </c>
      <c r="I27" s="94">
        <f t="shared" si="0"/>
        <v>55</v>
      </c>
      <c r="J27" s="93">
        <f t="shared" si="0"/>
        <v>34</v>
      </c>
      <c r="K27" s="94">
        <f t="shared" si="0"/>
        <v>50</v>
      </c>
      <c r="L27" s="93">
        <f t="shared" si="0"/>
        <v>9</v>
      </c>
      <c r="M27" s="106">
        <f t="shared" si="0"/>
        <v>58</v>
      </c>
      <c r="N27" s="86"/>
    </row>
    <row r="28" spans="1:16" ht="15.75" thickBot="1">
      <c r="A28" s="23" t="s">
        <v>25</v>
      </c>
      <c r="B28" s="188">
        <f>SUM(B3:G26)</f>
        <v>152</v>
      </c>
      <c r="C28" s="188"/>
      <c r="D28" s="188"/>
      <c r="E28" s="188"/>
      <c r="F28" s="188"/>
      <c r="G28" s="189"/>
      <c r="H28" s="190">
        <f>SUM(H3:M26)</f>
        <v>296</v>
      </c>
      <c r="I28" s="188"/>
      <c r="J28" s="188"/>
      <c r="K28" s="188"/>
      <c r="L28" s="188"/>
      <c r="M28" s="191"/>
      <c r="N28" s="86">
        <f>SUM(N4:N25)</f>
        <v>0</v>
      </c>
      <c r="O28" s="91">
        <f>SUM(O4:O26)</f>
        <v>99</v>
      </c>
      <c r="P28" s="91">
        <f>SUM(B28:O28)</f>
        <v>547</v>
      </c>
    </row>
    <row r="29" spans="1:16">
      <c r="A29" s="1"/>
      <c r="B29" s="177">
        <f>16/SUM(B27:C27)</f>
        <v>0.59259259259259256</v>
      </c>
      <c r="C29" s="177"/>
      <c r="D29" s="177">
        <f>D27/SUM(D27:E27)</f>
        <v>0.41791044776119401</v>
      </c>
      <c r="E29" s="177"/>
      <c r="F29" s="177">
        <f>F27/SUM(F27:G27)</f>
        <v>8.6206896551724144E-2</v>
      </c>
      <c r="G29" s="177"/>
      <c r="H29" s="177">
        <f>H27/SUM(H27:I27)</f>
        <v>0.62068965517241381</v>
      </c>
      <c r="I29" s="177"/>
      <c r="J29" s="177">
        <f>J27/SUM(J27:K27)</f>
        <v>0.40476190476190477</v>
      </c>
      <c r="K29" s="177"/>
      <c r="L29" s="177">
        <f>L27/SUM(L27:M27)</f>
        <v>0.13432835820895522</v>
      </c>
      <c r="M29" s="177"/>
      <c r="N29" s="2"/>
    </row>
    <row r="30" spans="1:1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6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6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6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6" s="2" customFormat="1">
      <c r="A34" s="1"/>
      <c r="O34" s="91"/>
      <c r="P34" s="31"/>
    </row>
    <row r="35" spans="1:16" s="2" customFormat="1">
      <c r="A35" s="1"/>
      <c r="O35" s="91"/>
      <c r="P35" s="31"/>
    </row>
    <row r="36" spans="1:16" s="2" customFormat="1">
      <c r="A36" s="1"/>
      <c r="O36" s="91"/>
      <c r="P36" s="31"/>
    </row>
    <row r="37" spans="1:16" s="2" customFormat="1">
      <c r="A37" s="1"/>
      <c r="O37" s="91"/>
      <c r="P37" s="31"/>
    </row>
    <row r="38" spans="1:16" s="2" customFormat="1">
      <c r="A38" s="1"/>
      <c r="O38" s="91"/>
      <c r="P38" s="31"/>
    </row>
    <row r="39" spans="1:16" s="2" customFormat="1">
      <c r="A39" s="1"/>
      <c r="O39" s="91"/>
      <c r="P39" s="31"/>
    </row>
    <row r="40" spans="1:16" s="2" customFormat="1">
      <c r="A40" s="1"/>
      <c r="O40" s="91"/>
      <c r="P40" s="31"/>
    </row>
    <row r="41" spans="1:16" s="2" customFormat="1">
      <c r="A41" s="1"/>
      <c r="O41" s="91"/>
      <c r="P41" s="31"/>
    </row>
    <row r="42" spans="1:16" s="2" customFormat="1">
      <c r="A42" s="1"/>
      <c r="O42" s="91"/>
      <c r="P42" s="31"/>
    </row>
    <row r="43" spans="1:16" s="2" customFormat="1">
      <c r="A43" s="1"/>
      <c r="O43" s="91"/>
      <c r="P43" s="31"/>
    </row>
    <row r="44" spans="1:16" s="2" customFormat="1">
      <c r="A44" s="1"/>
      <c r="O44" s="91"/>
      <c r="P44" s="31"/>
    </row>
    <row r="45" spans="1:16" s="2" customFormat="1">
      <c r="A45" s="1"/>
      <c r="O45" s="91"/>
      <c r="P45" s="31"/>
    </row>
    <row r="46" spans="1:16" s="2" customFormat="1">
      <c r="A46" s="1"/>
      <c r="O46" s="91"/>
      <c r="P46" s="31"/>
    </row>
    <row r="47" spans="1:16" s="2" customFormat="1">
      <c r="A47" s="1"/>
      <c r="O47" s="91"/>
      <c r="P47" s="31"/>
    </row>
    <row r="48" spans="1:16" s="2" customFormat="1">
      <c r="A48" s="1"/>
      <c r="O48" s="91"/>
      <c r="P48" s="31"/>
    </row>
    <row r="49" spans="1:16" s="2" customFormat="1">
      <c r="A49" s="1"/>
      <c r="O49" s="91"/>
      <c r="P49" s="31"/>
    </row>
    <row r="50" spans="1:16" s="2" customFormat="1">
      <c r="A50" s="1"/>
      <c r="O50" s="91"/>
      <c r="P50" s="31"/>
    </row>
    <row r="51" spans="1:16" s="2" customFormat="1">
      <c r="A51" s="1"/>
      <c r="O51" s="91"/>
      <c r="P51" s="31"/>
    </row>
    <row r="52" spans="1:16" s="2" customFormat="1">
      <c r="A52" s="1"/>
      <c r="O52" s="91"/>
      <c r="P52" s="31"/>
    </row>
    <row r="53" spans="1:16" s="2" customFormat="1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91"/>
      <c r="P53" s="31"/>
    </row>
    <row r="54" spans="1:16" s="2" customFormat="1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91"/>
      <c r="P54" s="31"/>
    </row>
    <row r="55" spans="1:16" s="2" customFormat="1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91"/>
      <c r="P55" s="31"/>
    </row>
    <row r="56" spans="1:16" s="2" customFormat="1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91"/>
      <c r="P56" s="31"/>
    </row>
    <row r="57" spans="1:16" s="2" customFormat="1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91"/>
      <c r="P57" s="31"/>
    </row>
    <row r="58" spans="1:16" s="2" customFormat="1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91"/>
      <c r="P58" s="31"/>
    </row>
    <row r="59" spans="1:16" s="2" customFormat="1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91"/>
      <c r="P59" s="31"/>
    </row>
    <row r="60" spans="1:16" s="2" customFormat="1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91"/>
      <c r="P60" s="31"/>
    </row>
  </sheetData>
  <mergeCells count="11">
    <mergeCell ref="B28:G28"/>
    <mergeCell ref="H28:M28"/>
    <mergeCell ref="A1:A3"/>
    <mergeCell ref="B1:G1"/>
    <mergeCell ref="H1:M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3"/>
  <sheetViews>
    <sheetView tabSelected="1" topLeftCell="A4" zoomScaleNormal="100" workbookViewId="0">
      <selection activeCell="S23" sqref="S23"/>
    </sheetView>
  </sheetViews>
  <sheetFormatPr defaultColWidth="9.140625" defaultRowHeight="15"/>
  <cols>
    <col min="1" max="1" width="12.28515625" style="5" customWidth="1"/>
    <col min="2" max="2" width="25.85546875" style="5" bestFit="1" customWidth="1"/>
    <col min="3" max="5" width="4" style="5" bestFit="1" customWidth="1"/>
    <col min="6" max="6" width="5.5703125" style="5" customWidth="1"/>
    <col min="7" max="7" width="4.140625" style="5" bestFit="1" customWidth="1"/>
    <col min="8" max="8" width="4" style="5" bestFit="1" customWidth="1"/>
    <col min="9" max="9" width="3" style="5" bestFit="1" customWidth="1"/>
    <col min="10" max="10" width="2.28515625" style="5" bestFit="1" customWidth="1"/>
    <col min="11" max="11" width="3" style="5" bestFit="1" customWidth="1"/>
    <col min="12" max="12" width="3.5703125" style="5" customWidth="1"/>
    <col min="13" max="13" width="4.140625" style="5" bestFit="1" customWidth="1"/>
    <col min="14" max="14" width="3" style="5" customWidth="1"/>
    <col min="15" max="16384" width="9.140625" style="5"/>
  </cols>
  <sheetData>
    <row r="1" spans="1:15">
      <c r="A1" s="216" t="s">
        <v>78</v>
      </c>
      <c r="B1" s="217"/>
      <c r="C1" s="223" t="s">
        <v>1</v>
      </c>
      <c r="D1" s="224"/>
      <c r="E1" s="224"/>
      <c r="F1" s="224"/>
      <c r="G1" s="224"/>
      <c r="H1" s="225"/>
      <c r="I1" s="223" t="s">
        <v>2</v>
      </c>
      <c r="J1" s="224"/>
      <c r="K1" s="224"/>
      <c r="L1" s="224"/>
      <c r="M1" s="224"/>
      <c r="N1" s="226"/>
    </row>
    <row r="2" spans="1:15">
      <c r="A2" s="218"/>
      <c r="B2" s="219"/>
      <c r="C2" s="207" t="s">
        <v>4</v>
      </c>
      <c r="D2" s="203"/>
      <c r="E2" s="203" t="s">
        <v>5</v>
      </c>
      <c r="F2" s="203"/>
      <c r="G2" s="203" t="s">
        <v>6</v>
      </c>
      <c r="H2" s="209"/>
      <c r="I2" s="207" t="s">
        <v>4</v>
      </c>
      <c r="J2" s="203"/>
      <c r="K2" s="203" t="s">
        <v>5</v>
      </c>
      <c r="L2" s="203"/>
      <c r="M2" s="203" t="s">
        <v>6</v>
      </c>
      <c r="N2" s="208"/>
    </row>
    <row r="3" spans="1:15" ht="15.75" thickBot="1">
      <c r="A3" s="220"/>
      <c r="B3" s="221"/>
      <c r="C3" s="9" t="s">
        <v>79</v>
      </c>
      <c r="D3" s="8" t="s">
        <v>80</v>
      </c>
      <c r="E3" s="8" t="s">
        <v>79</v>
      </c>
      <c r="F3" s="8" t="s">
        <v>80</v>
      </c>
      <c r="G3" s="8" t="s">
        <v>6</v>
      </c>
      <c r="H3" s="8" t="s">
        <v>81</v>
      </c>
      <c r="I3" s="9" t="s">
        <v>79</v>
      </c>
      <c r="J3" s="8" t="s">
        <v>80</v>
      </c>
      <c r="K3" s="8" t="s">
        <v>79</v>
      </c>
      <c r="L3" s="8" t="s">
        <v>80</v>
      </c>
      <c r="M3" s="8" t="s">
        <v>6</v>
      </c>
      <c r="N3" s="20" t="s">
        <v>81</v>
      </c>
    </row>
    <row r="4" spans="1:15" s="2" customFormat="1">
      <c r="A4" s="210" t="s">
        <v>82</v>
      </c>
      <c r="B4" s="109" t="s">
        <v>83</v>
      </c>
      <c r="C4" s="107">
        <v>4</v>
      </c>
      <c r="D4" s="108">
        <v>0</v>
      </c>
      <c r="E4" s="108">
        <v>0</v>
      </c>
      <c r="F4" s="108">
        <v>0</v>
      </c>
      <c r="G4" s="108">
        <v>0</v>
      </c>
      <c r="H4" s="108">
        <v>0</v>
      </c>
      <c r="I4" s="107">
        <v>0</v>
      </c>
      <c r="J4" s="108">
        <v>0</v>
      </c>
      <c r="K4" s="108">
        <v>0</v>
      </c>
      <c r="L4" s="108">
        <v>0</v>
      </c>
      <c r="M4" s="108">
        <v>0</v>
      </c>
      <c r="N4" s="111">
        <v>0</v>
      </c>
    </row>
    <row r="5" spans="1:15" s="2" customFormat="1">
      <c r="A5" s="211"/>
      <c r="B5" s="110" t="s">
        <v>84</v>
      </c>
      <c r="C5" s="52">
        <v>0</v>
      </c>
      <c r="D5" s="53">
        <v>0</v>
      </c>
      <c r="E5" s="53">
        <v>0</v>
      </c>
      <c r="F5" s="53">
        <v>0</v>
      </c>
      <c r="G5" s="53">
        <v>0</v>
      </c>
      <c r="H5" s="53">
        <v>0</v>
      </c>
      <c r="I5" s="52">
        <v>2</v>
      </c>
      <c r="J5" s="53">
        <v>0</v>
      </c>
      <c r="K5" s="53">
        <v>5</v>
      </c>
      <c r="L5" s="53">
        <v>0</v>
      </c>
      <c r="M5" s="53">
        <v>0</v>
      </c>
      <c r="N5" s="61">
        <v>1</v>
      </c>
      <c r="O5" s="31"/>
    </row>
    <row r="6" spans="1:15" s="2" customFormat="1">
      <c r="A6" s="211"/>
      <c r="B6" s="110" t="s">
        <v>85</v>
      </c>
      <c r="C6" s="52">
        <v>10</v>
      </c>
      <c r="D6" s="53">
        <v>0</v>
      </c>
      <c r="E6" s="53">
        <v>11</v>
      </c>
      <c r="F6" s="53">
        <v>0</v>
      </c>
      <c r="G6" s="53">
        <v>0</v>
      </c>
      <c r="H6" s="53">
        <v>14</v>
      </c>
      <c r="I6" s="52">
        <v>0</v>
      </c>
      <c r="J6" s="53">
        <v>0</v>
      </c>
      <c r="K6" s="53">
        <v>0</v>
      </c>
      <c r="L6" s="53">
        <v>0</v>
      </c>
      <c r="M6" s="53">
        <v>16</v>
      </c>
      <c r="N6" s="61">
        <v>0</v>
      </c>
    </row>
    <row r="7" spans="1:15" s="2" customFormat="1">
      <c r="A7" s="211"/>
      <c r="B7" s="110" t="s">
        <v>86</v>
      </c>
      <c r="C7" s="52">
        <v>4</v>
      </c>
      <c r="D7" s="53">
        <v>0</v>
      </c>
      <c r="E7" s="53">
        <v>4</v>
      </c>
      <c r="F7" s="53">
        <v>0</v>
      </c>
      <c r="G7" s="53">
        <v>6</v>
      </c>
      <c r="H7" s="53">
        <v>2</v>
      </c>
      <c r="I7" s="52">
        <v>0</v>
      </c>
      <c r="J7" s="53">
        <v>0</v>
      </c>
      <c r="K7" s="53">
        <v>0</v>
      </c>
      <c r="L7" s="53">
        <v>0</v>
      </c>
      <c r="M7" s="53">
        <v>0</v>
      </c>
      <c r="N7" s="61">
        <v>0</v>
      </c>
    </row>
    <row r="8" spans="1:15" s="2" customFormat="1">
      <c r="A8" s="211"/>
      <c r="B8" s="110" t="s">
        <v>87</v>
      </c>
      <c r="C8" s="52">
        <v>4</v>
      </c>
      <c r="D8" s="53">
        <v>0</v>
      </c>
      <c r="E8" s="53">
        <v>3</v>
      </c>
      <c r="F8" s="53">
        <v>0</v>
      </c>
      <c r="G8" s="53">
        <v>0</v>
      </c>
      <c r="H8" s="53">
        <v>1</v>
      </c>
      <c r="I8" s="52">
        <v>0</v>
      </c>
      <c r="J8" s="53">
        <v>0</v>
      </c>
      <c r="K8" s="53">
        <v>0</v>
      </c>
      <c r="L8" s="53">
        <v>0</v>
      </c>
      <c r="M8" s="53">
        <v>0</v>
      </c>
      <c r="N8" s="61">
        <v>0</v>
      </c>
    </row>
    <row r="9" spans="1:15" s="2" customFormat="1">
      <c r="A9" s="211"/>
      <c r="B9" s="110" t="s">
        <v>88</v>
      </c>
      <c r="C9" s="52">
        <v>2</v>
      </c>
      <c r="D9" s="53">
        <v>0</v>
      </c>
      <c r="E9" s="53">
        <v>1</v>
      </c>
      <c r="F9" s="53">
        <v>0</v>
      </c>
      <c r="G9" s="53">
        <v>0</v>
      </c>
      <c r="H9" s="53">
        <v>2</v>
      </c>
      <c r="I9" s="52">
        <v>0</v>
      </c>
      <c r="J9" s="53">
        <v>0</v>
      </c>
      <c r="K9" s="53">
        <v>0</v>
      </c>
      <c r="L9" s="53">
        <v>0</v>
      </c>
      <c r="M9" s="53">
        <v>0</v>
      </c>
      <c r="N9" s="61">
        <v>0</v>
      </c>
      <c r="O9" s="173"/>
    </row>
    <row r="10" spans="1:15" s="2" customFormat="1">
      <c r="A10" s="211"/>
      <c r="B10" s="110" t="s">
        <v>89</v>
      </c>
      <c r="C10" s="52">
        <v>0</v>
      </c>
      <c r="D10" s="53">
        <v>0</v>
      </c>
      <c r="E10" s="53">
        <v>1</v>
      </c>
      <c r="F10" s="53">
        <v>0</v>
      </c>
      <c r="G10" s="53">
        <v>19</v>
      </c>
      <c r="H10" s="53">
        <v>0</v>
      </c>
      <c r="I10" s="52">
        <v>0</v>
      </c>
      <c r="J10" s="53">
        <v>0</v>
      </c>
      <c r="K10" s="53">
        <v>0</v>
      </c>
      <c r="L10" s="53">
        <v>0</v>
      </c>
      <c r="M10" s="53">
        <v>0</v>
      </c>
      <c r="N10" s="61">
        <v>0</v>
      </c>
      <c r="O10" s="173"/>
    </row>
    <row r="11" spans="1:15" s="2" customFormat="1">
      <c r="A11" s="211"/>
      <c r="B11" s="110" t="s">
        <v>90</v>
      </c>
      <c r="C11" s="52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52">
        <v>0</v>
      </c>
      <c r="J11" s="53">
        <v>0</v>
      </c>
      <c r="K11" s="53">
        <v>0</v>
      </c>
      <c r="L11" s="53">
        <v>0</v>
      </c>
      <c r="M11" s="53">
        <v>0</v>
      </c>
      <c r="N11" s="61">
        <v>0</v>
      </c>
      <c r="O11" s="173"/>
    </row>
    <row r="12" spans="1:15" s="2" customFormat="1" ht="15.75">
      <c r="A12" s="211"/>
      <c r="B12" s="110" t="s">
        <v>91</v>
      </c>
      <c r="C12" s="52">
        <v>42</v>
      </c>
      <c r="D12" s="53">
        <v>0</v>
      </c>
      <c r="E12" s="53">
        <v>17</v>
      </c>
      <c r="F12" s="53">
        <v>0</v>
      </c>
      <c r="G12" s="53">
        <v>54</v>
      </c>
      <c r="H12" s="53">
        <v>15</v>
      </c>
      <c r="I12" s="52">
        <v>2</v>
      </c>
      <c r="J12" s="53">
        <v>0</v>
      </c>
      <c r="K12" s="53">
        <v>0</v>
      </c>
      <c r="L12" s="53">
        <v>0</v>
      </c>
      <c r="M12" s="53">
        <v>37</v>
      </c>
      <c r="N12" s="61">
        <v>0</v>
      </c>
      <c r="O12" s="173"/>
    </row>
    <row r="13" spans="1:15" s="2" customFormat="1" ht="15.75">
      <c r="A13" s="211"/>
      <c r="B13" s="110" t="s">
        <v>92</v>
      </c>
      <c r="C13" s="52">
        <v>3</v>
      </c>
      <c r="D13" s="53">
        <v>0</v>
      </c>
      <c r="E13" s="53">
        <v>1</v>
      </c>
      <c r="F13" s="53">
        <v>0</v>
      </c>
      <c r="G13" s="53">
        <v>1</v>
      </c>
      <c r="H13" s="53">
        <v>0</v>
      </c>
      <c r="I13" s="52">
        <v>0</v>
      </c>
      <c r="J13" s="53">
        <v>0</v>
      </c>
      <c r="K13" s="53">
        <v>0</v>
      </c>
      <c r="L13" s="53">
        <v>0</v>
      </c>
      <c r="M13" s="53">
        <v>0</v>
      </c>
      <c r="N13" s="61">
        <v>0</v>
      </c>
      <c r="O13" s="173"/>
    </row>
    <row r="14" spans="1:15" s="2" customFormat="1" ht="15.75">
      <c r="A14" s="212"/>
      <c r="B14" s="137" t="s">
        <v>93</v>
      </c>
      <c r="C14" s="128">
        <v>0</v>
      </c>
      <c r="D14" s="129">
        <v>0</v>
      </c>
      <c r="E14" s="129">
        <v>0</v>
      </c>
      <c r="F14" s="129">
        <v>0</v>
      </c>
      <c r="G14" s="129">
        <v>0</v>
      </c>
      <c r="H14" s="129">
        <v>0</v>
      </c>
      <c r="I14" s="128">
        <v>0</v>
      </c>
      <c r="J14" s="129">
        <v>0</v>
      </c>
      <c r="K14" s="129">
        <v>0</v>
      </c>
      <c r="L14" s="129">
        <v>0</v>
      </c>
      <c r="M14" s="129">
        <v>0</v>
      </c>
      <c r="N14" s="138">
        <v>0</v>
      </c>
      <c r="O14" s="173"/>
    </row>
    <row r="15" spans="1:15">
      <c r="A15" s="213" t="s">
        <v>94</v>
      </c>
      <c r="B15" s="54" t="s">
        <v>95</v>
      </c>
      <c r="C15" s="55">
        <v>38</v>
      </c>
      <c r="D15" s="56">
        <v>34</v>
      </c>
      <c r="E15" s="56">
        <v>202</v>
      </c>
      <c r="F15" s="56">
        <v>42</v>
      </c>
      <c r="G15" s="56">
        <v>0</v>
      </c>
      <c r="H15" s="56">
        <v>126</v>
      </c>
      <c r="I15" s="55">
        <v>0</v>
      </c>
      <c r="J15" s="56">
        <v>0</v>
      </c>
      <c r="K15" s="56">
        <v>0</v>
      </c>
      <c r="L15" s="56">
        <v>0</v>
      </c>
      <c r="M15" s="56">
        <v>0</v>
      </c>
      <c r="N15" s="62">
        <v>0</v>
      </c>
      <c r="O15" s="173"/>
    </row>
    <row r="16" spans="1:15" ht="15.75">
      <c r="A16" s="213"/>
      <c r="B16" s="54" t="s">
        <v>96</v>
      </c>
      <c r="C16" s="55">
        <v>0</v>
      </c>
      <c r="D16" s="56">
        <v>33</v>
      </c>
      <c r="E16" s="56">
        <v>0</v>
      </c>
      <c r="F16" s="56">
        <v>41</v>
      </c>
      <c r="G16" s="56">
        <v>0</v>
      </c>
      <c r="H16" s="56">
        <v>31</v>
      </c>
      <c r="I16" s="55">
        <v>0</v>
      </c>
      <c r="J16" s="56">
        <v>0</v>
      </c>
      <c r="K16" s="56">
        <v>0</v>
      </c>
      <c r="L16" s="56">
        <v>0</v>
      </c>
      <c r="M16" s="56">
        <v>0</v>
      </c>
      <c r="N16" s="62">
        <v>0</v>
      </c>
      <c r="O16" s="173"/>
    </row>
    <row r="17" spans="1:20">
      <c r="A17" s="213"/>
      <c r="B17" s="54" t="s">
        <v>97</v>
      </c>
      <c r="C17" s="55">
        <v>0</v>
      </c>
      <c r="D17" s="56">
        <v>0</v>
      </c>
      <c r="E17" s="56">
        <v>0</v>
      </c>
      <c r="F17" s="56">
        <v>0</v>
      </c>
      <c r="G17" s="56">
        <v>0</v>
      </c>
      <c r="H17" s="56">
        <v>1</v>
      </c>
      <c r="I17" s="55">
        <v>0</v>
      </c>
      <c r="J17" s="56">
        <v>0</v>
      </c>
      <c r="K17" s="56">
        <v>0</v>
      </c>
      <c r="L17" s="56">
        <v>0</v>
      </c>
      <c r="M17" s="56">
        <v>0</v>
      </c>
      <c r="N17" s="62">
        <v>0</v>
      </c>
      <c r="O17" s="173"/>
    </row>
    <row r="18" spans="1:20">
      <c r="A18" s="213"/>
      <c r="B18" s="54" t="s">
        <v>98</v>
      </c>
      <c r="C18" s="55">
        <v>2</v>
      </c>
      <c r="D18" s="56">
        <v>0</v>
      </c>
      <c r="E18" s="56">
        <v>0</v>
      </c>
      <c r="F18" s="56">
        <v>0</v>
      </c>
      <c r="G18" s="56">
        <v>0</v>
      </c>
      <c r="H18" s="130">
        <v>0</v>
      </c>
      <c r="I18" s="55">
        <v>0</v>
      </c>
      <c r="J18" s="56">
        <v>0</v>
      </c>
      <c r="K18" s="56">
        <v>0</v>
      </c>
      <c r="L18" s="56">
        <v>0</v>
      </c>
      <c r="M18" s="56">
        <v>0</v>
      </c>
      <c r="N18" s="62">
        <v>0</v>
      </c>
      <c r="O18" s="2"/>
    </row>
    <row r="19" spans="1:20">
      <c r="A19" s="112" t="s">
        <v>24</v>
      </c>
      <c r="B19" s="113" t="s">
        <v>82</v>
      </c>
      <c r="C19" s="57">
        <f>SUM(C4:C14)</f>
        <v>69</v>
      </c>
      <c r="D19" s="58">
        <f t="shared" ref="D19:H19" si="0">SUM(D4:D14)</f>
        <v>0</v>
      </c>
      <c r="E19" s="58">
        <f t="shared" si="0"/>
        <v>38</v>
      </c>
      <c r="F19" s="58">
        <f t="shared" si="0"/>
        <v>0</v>
      </c>
      <c r="G19" s="58">
        <f t="shared" si="0"/>
        <v>80</v>
      </c>
      <c r="H19" s="58">
        <f t="shared" si="0"/>
        <v>34</v>
      </c>
      <c r="I19" s="57">
        <f>SUM(I4:I14)</f>
        <v>4</v>
      </c>
      <c r="J19" s="58">
        <f t="shared" ref="J19:N19" si="1">SUM(J4:J14)</f>
        <v>0</v>
      </c>
      <c r="K19" s="58">
        <f t="shared" si="1"/>
        <v>5</v>
      </c>
      <c r="L19" s="58">
        <f t="shared" si="1"/>
        <v>0</v>
      </c>
      <c r="M19" s="58">
        <f t="shared" si="1"/>
        <v>53</v>
      </c>
      <c r="N19" s="63">
        <f t="shared" si="1"/>
        <v>1</v>
      </c>
      <c r="O19" s="2"/>
    </row>
    <row r="20" spans="1:20">
      <c r="A20" s="49"/>
      <c r="B20" s="114" t="s">
        <v>94</v>
      </c>
      <c r="C20" s="59">
        <f>SUM(C15:C18)</f>
        <v>40</v>
      </c>
      <c r="D20" s="60">
        <f t="shared" ref="D20:H20" si="2">SUM(D15:D18)</f>
        <v>67</v>
      </c>
      <c r="E20" s="60">
        <f t="shared" si="2"/>
        <v>202</v>
      </c>
      <c r="F20" s="60">
        <f t="shared" si="2"/>
        <v>83</v>
      </c>
      <c r="G20" s="60">
        <f t="shared" si="2"/>
        <v>0</v>
      </c>
      <c r="H20" s="60">
        <f t="shared" si="2"/>
        <v>158</v>
      </c>
      <c r="I20" s="59">
        <f>SUM(I15:I18)</f>
        <v>0</v>
      </c>
      <c r="J20" s="60">
        <f t="shared" ref="J20:N20" si="3">SUM(J15:J18)</f>
        <v>0</v>
      </c>
      <c r="K20" s="60">
        <f t="shared" si="3"/>
        <v>0</v>
      </c>
      <c r="L20" s="60">
        <f t="shared" si="3"/>
        <v>0</v>
      </c>
      <c r="M20" s="60">
        <f t="shared" si="3"/>
        <v>0</v>
      </c>
      <c r="N20" s="64">
        <f t="shared" si="3"/>
        <v>0</v>
      </c>
      <c r="O20" s="2"/>
      <c r="Q20" s="2"/>
      <c r="R20" s="2"/>
      <c r="S20" s="2"/>
      <c r="T20" s="2"/>
    </row>
    <row r="21" spans="1:20">
      <c r="A21" s="49"/>
      <c r="B21" s="115" t="s">
        <v>99</v>
      </c>
      <c r="C21" s="59">
        <f>SUM(C19:C20)</f>
        <v>109</v>
      </c>
      <c r="D21" s="60">
        <f t="shared" ref="D21:N21" si="4">SUM(D19:D20)</f>
        <v>67</v>
      </c>
      <c r="E21" s="60">
        <f t="shared" si="4"/>
        <v>240</v>
      </c>
      <c r="F21" s="60">
        <f t="shared" si="4"/>
        <v>83</v>
      </c>
      <c r="G21" s="60">
        <f t="shared" si="4"/>
        <v>80</v>
      </c>
      <c r="H21" s="60">
        <f t="shared" si="4"/>
        <v>192</v>
      </c>
      <c r="I21" s="59">
        <f t="shared" si="4"/>
        <v>4</v>
      </c>
      <c r="J21" s="60">
        <f t="shared" si="4"/>
        <v>0</v>
      </c>
      <c r="K21" s="60">
        <f t="shared" si="4"/>
        <v>5</v>
      </c>
      <c r="L21" s="60">
        <f t="shared" si="4"/>
        <v>0</v>
      </c>
      <c r="M21" s="60">
        <f t="shared" si="4"/>
        <v>53</v>
      </c>
      <c r="N21" s="64">
        <f t="shared" si="4"/>
        <v>1</v>
      </c>
      <c r="O21" s="2"/>
      <c r="Q21" s="2"/>
      <c r="R21" s="2"/>
      <c r="S21" s="2"/>
      <c r="T21" s="2"/>
    </row>
    <row r="22" spans="1:20" ht="15.75" thickBot="1">
      <c r="A22" s="50"/>
      <c r="B22" s="163"/>
      <c r="C22" s="204">
        <f>SUM(C21:H21)</f>
        <v>771</v>
      </c>
      <c r="D22" s="205"/>
      <c r="E22" s="205"/>
      <c r="F22" s="205"/>
      <c r="G22" s="205"/>
      <c r="H22" s="205"/>
      <c r="I22" s="204">
        <f>SUM(I21:N21)</f>
        <v>63</v>
      </c>
      <c r="J22" s="205"/>
      <c r="K22" s="205"/>
      <c r="L22" s="205"/>
      <c r="M22" s="205"/>
      <c r="N22" s="206"/>
      <c r="Q22" s="2"/>
      <c r="R22" s="2"/>
      <c r="S22" s="2"/>
      <c r="T22" s="2"/>
    </row>
    <row r="23" spans="1:20" ht="15.75" thickBot="1">
      <c r="A23" s="222" t="s">
        <v>100</v>
      </c>
      <c r="B23" s="222"/>
      <c r="C23" s="215">
        <f>SUM(C22,I22)</f>
        <v>834</v>
      </c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Q23" s="2"/>
      <c r="R23" s="2"/>
      <c r="S23" s="2"/>
      <c r="T23" s="2"/>
    </row>
    <row r="24" spans="1:20" ht="15.75">
      <c r="A24" s="214" t="s">
        <v>101</v>
      </c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Q24" s="2"/>
      <c r="R24" s="2"/>
      <c r="S24" s="2"/>
      <c r="T24" s="2"/>
    </row>
    <row r="25" spans="1:20">
      <c r="A25" s="202" t="s">
        <v>102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Q25" s="2"/>
      <c r="R25" s="2"/>
      <c r="S25" s="2"/>
      <c r="T25" s="2"/>
    </row>
    <row r="26" spans="1:20" ht="15.75">
      <c r="A26" s="202" t="s">
        <v>103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Q26" s="2"/>
      <c r="R26" s="2"/>
      <c r="S26" s="2"/>
      <c r="T26" s="2"/>
    </row>
    <row r="27" spans="1:20" ht="15.75">
      <c r="A27" s="202" t="s">
        <v>104</v>
      </c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Q27" s="2"/>
      <c r="R27" s="2"/>
      <c r="S27" s="2"/>
      <c r="T27" s="2"/>
    </row>
    <row r="28" spans="1:20" s="2" customFormat="1">
      <c r="A28" s="173"/>
    </row>
    <row r="29" spans="1:20" s="2" customFormat="1">
      <c r="A29" s="173"/>
    </row>
    <row r="30" spans="1:20" s="2" customFormat="1">
      <c r="A30" s="173"/>
    </row>
    <row r="31" spans="1:20" s="2" customFormat="1">
      <c r="A31" s="173"/>
    </row>
    <row r="32" spans="1:20" s="2" customFormat="1">
      <c r="A32" s="173"/>
    </row>
    <row r="33" spans="1:20" s="2" customFormat="1">
      <c r="A33" s="173"/>
    </row>
    <row r="34" spans="1:20" s="2" customFormat="1"/>
    <row r="35" spans="1:20" s="2" customFormat="1"/>
    <row r="36" spans="1:20" s="2" customFormat="1"/>
    <row r="37" spans="1:20" s="2" customFormat="1"/>
    <row r="38" spans="1:20" s="2" customFormat="1"/>
    <row r="39" spans="1:20" s="2" customFormat="1"/>
    <row r="40" spans="1:20" s="2" customFormat="1">
      <c r="Q40" s="5"/>
      <c r="R40" s="5"/>
      <c r="S40" s="5"/>
      <c r="T40" s="5"/>
    </row>
    <row r="41" spans="1:20" s="2" customFormat="1">
      <c r="Q41" s="5"/>
      <c r="R41" s="5"/>
      <c r="S41" s="5"/>
      <c r="T41" s="5"/>
    </row>
    <row r="42" spans="1:20" s="2" customFormat="1">
      <c r="Q42" s="5"/>
      <c r="R42" s="5"/>
      <c r="S42" s="5"/>
      <c r="T42" s="5"/>
    </row>
    <row r="43" spans="1:20" s="2" customFormat="1">
      <c r="Q43" s="5"/>
      <c r="R43" s="5"/>
      <c r="S43" s="5"/>
      <c r="T43" s="5"/>
    </row>
    <row r="44" spans="1:20" s="2" customFormat="1">
      <c r="Q44" s="5"/>
      <c r="R44" s="5"/>
      <c r="S44" s="5"/>
      <c r="T44" s="5"/>
    </row>
    <row r="45" spans="1:20" s="2" customFormat="1">
      <c r="Q45" s="5"/>
      <c r="R45" s="5"/>
      <c r="S45" s="5"/>
      <c r="T45" s="5"/>
    </row>
    <row r="46" spans="1:20" s="2" customFormat="1">
      <c r="Q46" s="5"/>
      <c r="R46" s="5"/>
      <c r="S46" s="5"/>
      <c r="T46" s="5"/>
    </row>
    <row r="47" spans="1:20" s="2" customFormat="1">
      <c r="Q47" s="5"/>
      <c r="R47" s="5"/>
      <c r="S47" s="5"/>
      <c r="T47" s="5"/>
    </row>
    <row r="48" spans="1:20" s="2" customFormat="1">
      <c r="Q48" s="5"/>
      <c r="R48" s="5"/>
      <c r="S48" s="5"/>
      <c r="T48" s="5"/>
    </row>
    <row r="49" spans="1:20" s="2" customFormat="1">
      <c r="Q49" s="5"/>
      <c r="R49" s="5"/>
      <c r="S49" s="5"/>
      <c r="T49" s="5"/>
    </row>
    <row r="50" spans="1:20" s="2" customFormat="1">
      <c r="Q50" s="5"/>
      <c r="R50" s="5"/>
      <c r="S50" s="5"/>
      <c r="T50" s="5"/>
    </row>
    <row r="51" spans="1:20" s="2" customForma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Q51" s="5"/>
      <c r="R51" s="5"/>
      <c r="S51" s="5"/>
      <c r="T51" s="5"/>
    </row>
    <row r="52" spans="1:20" s="2" customForma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Q52" s="5"/>
      <c r="R52" s="5"/>
      <c r="S52" s="5"/>
      <c r="T52" s="5"/>
    </row>
    <row r="53" spans="1:20" s="2" customForma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Q53" s="5"/>
      <c r="R53" s="5"/>
      <c r="S53" s="5"/>
      <c r="T53" s="5"/>
    </row>
  </sheetData>
  <mergeCells count="19">
    <mergeCell ref="I1:N1"/>
    <mergeCell ref="A25:N25"/>
    <mergeCell ref="A26:N26"/>
    <mergeCell ref="A27:N27"/>
    <mergeCell ref="K2:L2"/>
    <mergeCell ref="C22:H22"/>
    <mergeCell ref="I22:N22"/>
    <mergeCell ref="C2:D2"/>
    <mergeCell ref="M2:N2"/>
    <mergeCell ref="E2:F2"/>
    <mergeCell ref="G2:H2"/>
    <mergeCell ref="I2:J2"/>
    <mergeCell ref="A4:A14"/>
    <mergeCell ref="A15:A18"/>
    <mergeCell ref="A24:N24"/>
    <mergeCell ref="C23:N23"/>
    <mergeCell ref="A1:B3"/>
    <mergeCell ref="A23:B23"/>
    <mergeCell ref="C1:H1"/>
  </mergeCells>
  <pageMargins left="0.7" right="0.7" top="0.75" bottom="0.75" header="0.3" footer="0.3"/>
  <pageSetup scale="97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zoomScale="115" zoomScaleNormal="115" workbookViewId="0">
      <pane ySplit="660" activePane="bottomLeft"/>
      <selection pane="bottomLeft" activeCell="A12" sqref="A12"/>
      <selection sqref="A1:F18"/>
    </sheetView>
  </sheetViews>
  <sheetFormatPr defaultColWidth="9.140625" defaultRowHeight="12.75"/>
  <cols>
    <col min="1" max="1" width="10.7109375" style="13" bestFit="1" customWidth="1"/>
    <col min="2" max="2" width="8" style="13" bestFit="1" customWidth="1"/>
    <col min="3" max="3" width="10.28515625" style="13" bestFit="1" customWidth="1"/>
    <col min="4" max="4" width="11.140625" style="13" bestFit="1" customWidth="1"/>
    <col min="5" max="5" width="18.28515625" style="13" bestFit="1" customWidth="1"/>
    <col min="6" max="6" width="58" style="13" customWidth="1"/>
    <col min="7" max="10" width="9.140625" style="13"/>
    <col min="11" max="11" width="6.7109375" style="13" customWidth="1"/>
    <col min="12" max="12" width="3.85546875" style="13" customWidth="1"/>
    <col min="13" max="13" width="9.140625" style="13"/>
    <col min="14" max="14" width="5" style="13" customWidth="1"/>
    <col min="15" max="15" width="7" style="13" customWidth="1"/>
    <col min="16" max="16" width="9.140625" style="13" customWidth="1"/>
    <col min="17" max="16384" width="9.140625" style="13"/>
  </cols>
  <sheetData>
    <row r="1" spans="1:6" ht="13.5" thickBot="1">
      <c r="A1" s="12" t="s">
        <v>7</v>
      </c>
      <c r="B1" s="12" t="s">
        <v>105</v>
      </c>
      <c r="C1" s="12" t="s">
        <v>106</v>
      </c>
      <c r="D1" s="12" t="s">
        <v>107</v>
      </c>
      <c r="E1" s="12" t="s">
        <v>108</v>
      </c>
      <c r="F1" s="12" t="s">
        <v>109</v>
      </c>
    </row>
    <row r="2" spans="1:6">
      <c r="A2" s="14">
        <v>43891</v>
      </c>
      <c r="B2" s="15">
        <v>6</v>
      </c>
      <c r="C2" s="15">
        <v>0</v>
      </c>
      <c r="D2" s="15">
        <v>0</v>
      </c>
      <c r="E2" s="15">
        <v>0</v>
      </c>
      <c r="F2" s="16"/>
    </row>
    <row r="3" spans="1:6">
      <c r="A3" s="17">
        <v>43892</v>
      </c>
      <c r="B3" s="18">
        <v>23</v>
      </c>
      <c r="C3" s="18">
        <v>0</v>
      </c>
      <c r="D3" s="18">
        <v>0</v>
      </c>
      <c r="E3" s="18">
        <v>0</v>
      </c>
      <c r="F3" s="19"/>
    </row>
    <row r="4" spans="1:6">
      <c r="A4" s="17">
        <v>43893</v>
      </c>
      <c r="B4" s="18">
        <v>57</v>
      </c>
      <c r="C4" s="18">
        <v>0</v>
      </c>
      <c r="D4" s="18">
        <v>0</v>
      </c>
      <c r="E4" s="18">
        <v>0</v>
      </c>
      <c r="F4" s="19"/>
    </row>
    <row r="5" spans="1:6">
      <c r="A5" s="17">
        <v>43894</v>
      </c>
      <c r="B5" s="18">
        <v>44</v>
      </c>
      <c r="C5" s="18">
        <v>0</v>
      </c>
      <c r="D5" s="18">
        <v>0</v>
      </c>
      <c r="E5" s="18">
        <v>0</v>
      </c>
      <c r="F5" s="19"/>
    </row>
    <row r="6" spans="1:6">
      <c r="A6" s="17">
        <v>43895</v>
      </c>
      <c r="B6" s="18">
        <v>110</v>
      </c>
      <c r="C6" s="18">
        <v>0</v>
      </c>
      <c r="D6" s="18">
        <v>0</v>
      </c>
      <c r="E6" s="18">
        <v>0</v>
      </c>
      <c r="F6" s="19"/>
    </row>
    <row r="7" spans="1:6">
      <c r="A7" s="17">
        <v>43899</v>
      </c>
      <c r="B7" s="18">
        <v>0</v>
      </c>
      <c r="C7" s="18">
        <v>25</v>
      </c>
      <c r="D7" s="18">
        <v>7</v>
      </c>
      <c r="E7" s="18">
        <v>0</v>
      </c>
      <c r="F7" s="19" t="s">
        <v>110</v>
      </c>
    </row>
    <row r="8" spans="1:6">
      <c r="A8" s="17">
        <v>43900</v>
      </c>
      <c r="B8" s="18">
        <v>0</v>
      </c>
      <c r="C8" s="18">
        <v>23</v>
      </c>
      <c r="D8" s="18">
        <v>9</v>
      </c>
      <c r="E8" s="18">
        <v>0</v>
      </c>
      <c r="F8" s="19" t="s">
        <v>111</v>
      </c>
    </row>
    <row r="9" spans="1:6">
      <c r="A9" s="17">
        <v>43901</v>
      </c>
      <c r="B9" s="18">
        <v>0</v>
      </c>
      <c r="C9" s="24">
        <v>24</v>
      </c>
      <c r="D9" s="18">
        <v>5</v>
      </c>
      <c r="E9" s="18">
        <v>0</v>
      </c>
      <c r="F9" s="19" t="s">
        <v>112</v>
      </c>
    </row>
    <row r="10" spans="1:6">
      <c r="A10" s="17">
        <v>43902</v>
      </c>
      <c r="B10" s="18">
        <v>0</v>
      </c>
      <c r="C10" s="24">
        <v>32</v>
      </c>
      <c r="D10" s="18">
        <v>13</v>
      </c>
      <c r="E10" s="18">
        <v>0</v>
      </c>
      <c r="F10" s="19" t="s">
        <v>113</v>
      </c>
    </row>
    <row r="11" spans="1:6">
      <c r="A11" s="17">
        <v>43903</v>
      </c>
      <c r="B11" s="18">
        <v>0</v>
      </c>
      <c r="C11" s="24">
        <v>24</v>
      </c>
      <c r="D11" s="18">
        <v>11</v>
      </c>
      <c r="E11" s="18">
        <v>0</v>
      </c>
      <c r="F11" s="19" t="s">
        <v>114</v>
      </c>
    </row>
    <row r="12" spans="1:6">
      <c r="A12" s="17">
        <v>43905</v>
      </c>
      <c r="B12" s="18">
        <v>151</v>
      </c>
      <c r="C12" s="24">
        <v>0</v>
      </c>
      <c r="D12" s="18">
        <v>0</v>
      </c>
      <c r="E12" s="18">
        <v>0</v>
      </c>
      <c r="F12" s="19"/>
    </row>
    <row r="13" spans="1:6">
      <c r="A13" s="17">
        <v>43906</v>
      </c>
      <c r="B13" s="18">
        <v>0</v>
      </c>
      <c r="C13" s="18">
        <v>24</v>
      </c>
      <c r="D13" s="18">
        <v>6</v>
      </c>
      <c r="E13" s="18">
        <v>1</v>
      </c>
      <c r="F13" s="19" t="s">
        <v>115</v>
      </c>
    </row>
    <row r="14" spans="1:6">
      <c r="A14" s="17">
        <v>43907</v>
      </c>
      <c r="B14" s="18">
        <v>67</v>
      </c>
      <c r="C14" s="18">
        <v>23</v>
      </c>
      <c r="D14" s="18">
        <v>10</v>
      </c>
      <c r="E14" s="18">
        <v>0</v>
      </c>
      <c r="F14" s="19" t="s">
        <v>116</v>
      </c>
    </row>
    <row r="15" spans="1:6">
      <c r="A15" s="17">
        <v>43908</v>
      </c>
      <c r="B15" s="18">
        <f>21+36+27</f>
        <v>84</v>
      </c>
      <c r="C15" s="18">
        <v>36</v>
      </c>
      <c r="D15" s="18">
        <v>0</v>
      </c>
      <c r="E15" s="18">
        <v>0</v>
      </c>
      <c r="F15" s="19"/>
    </row>
    <row r="16" spans="1:6">
      <c r="A16" s="17">
        <v>43909</v>
      </c>
      <c r="B16" s="18">
        <v>0</v>
      </c>
      <c r="C16" s="18">
        <v>27</v>
      </c>
      <c r="D16" s="18">
        <v>0</v>
      </c>
      <c r="E16" s="18">
        <v>0</v>
      </c>
      <c r="F16" s="19"/>
    </row>
    <row r="17" spans="1:10">
      <c r="A17" s="17">
        <v>43910</v>
      </c>
      <c r="B17" s="18">
        <v>0</v>
      </c>
      <c r="C17" s="18">
        <v>29</v>
      </c>
      <c r="D17" s="18">
        <v>0</v>
      </c>
      <c r="E17" s="18">
        <v>0</v>
      </c>
      <c r="F17" s="19"/>
    </row>
    <row r="18" spans="1:10">
      <c r="A18" s="17">
        <v>43913</v>
      </c>
      <c r="B18" s="18">
        <v>0</v>
      </c>
      <c r="C18" s="18">
        <v>29</v>
      </c>
      <c r="D18" s="18">
        <v>6</v>
      </c>
      <c r="E18" s="18">
        <v>0</v>
      </c>
      <c r="F18" s="19" t="s">
        <v>110</v>
      </c>
    </row>
    <row r="19" spans="1:10">
      <c r="A19" s="17">
        <v>43914</v>
      </c>
      <c r="B19" s="18">
        <v>0</v>
      </c>
      <c r="C19" s="18">
        <v>28</v>
      </c>
      <c r="D19" s="18">
        <v>11</v>
      </c>
      <c r="E19" s="18">
        <v>0</v>
      </c>
      <c r="F19" s="19" t="s">
        <v>117</v>
      </c>
    </row>
    <row r="20" spans="1:10">
      <c r="A20" s="17">
        <v>43915</v>
      </c>
      <c r="B20" s="18">
        <v>0</v>
      </c>
      <c r="C20" s="145">
        <v>31</v>
      </c>
      <c r="D20" s="145">
        <v>11</v>
      </c>
      <c r="E20" s="18">
        <v>0</v>
      </c>
      <c r="F20" s="19" t="s">
        <v>114</v>
      </c>
    </row>
    <row r="21" spans="1:10">
      <c r="A21" s="17">
        <v>43916</v>
      </c>
      <c r="B21" s="18">
        <v>0</v>
      </c>
      <c r="C21" s="145">
        <v>56</v>
      </c>
      <c r="D21" s="145">
        <v>16</v>
      </c>
      <c r="E21" s="18">
        <v>0</v>
      </c>
      <c r="F21" s="19" t="s">
        <v>118</v>
      </c>
    </row>
    <row r="22" spans="1:10" ht="13.5" thickBot="1">
      <c r="A22" s="17">
        <v>43917</v>
      </c>
      <c r="B22" s="18">
        <v>0</v>
      </c>
      <c r="C22" s="145">
        <v>31</v>
      </c>
      <c r="D22" s="145">
        <v>0</v>
      </c>
      <c r="E22" s="18">
        <v>0</v>
      </c>
      <c r="F22" s="19" t="s">
        <v>119</v>
      </c>
    </row>
    <row r="23" spans="1:10">
      <c r="A23" s="25" t="s">
        <v>99</v>
      </c>
      <c r="B23" s="26">
        <f>SUM(B2:B22)</f>
        <v>542</v>
      </c>
      <c r="C23" s="26">
        <f>SUM(C2:C22)</f>
        <v>442</v>
      </c>
      <c r="D23" s="26">
        <f>SUM(D2:D22)</f>
        <v>105</v>
      </c>
      <c r="E23" s="27">
        <f>SUM(E2:E22)</f>
        <v>1</v>
      </c>
    </row>
    <row r="24" spans="1:10" ht="13.5" thickBot="1">
      <c r="A24" s="28" t="s">
        <v>120</v>
      </c>
      <c r="B24" s="29"/>
      <c r="C24" s="29"/>
      <c r="D24" s="29">
        <f>B23-C23-D23-E23</f>
        <v>-6</v>
      </c>
      <c r="E24" s="30"/>
    </row>
    <row r="25" spans="1:10">
      <c r="A25" s="13" t="s">
        <v>121</v>
      </c>
      <c r="D25" s="13">
        <v>5</v>
      </c>
    </row>
    <row r="26" spans="1:10">
      <c r="A26" s="13" t="s">
        <v>122</v>
      </c>
      <c r="D26" s="13">
        <v>26</v>
      </c>
    </row>
    <row r="27" spans="1:10">
      <c r="A27" s="13" t="s">
        <v>123</v>
      </c>
      <c r="D27" s="13">
        <f>D24-D25</f>
        <v>-11</v>
      </c>
    </row>
    <row r="28" spans="1:10">
      <c r="E28" s="13" t="s">
        <v>124</v>
      </c>
    </row>
    <row r="29" spans="1:10">
      <c r="E29" s="13" t="s">
        <v>125</v>
      </c>
      <c r="J29" s="13" t="s">
        <v>126</v>
      </c>
    </row>
    <row r="30" spans="1:10">
      <c r="J30" s="13" t="s">
        <v>127</v>
      </c>
    </row>
    <row r="31" spans="1:10">
      <c r="J31" s="13" t="s">
        <v>128</v>
      </c>
    </row>
    <row r="32" spans="1:10">
      <c r="E32" s="13" t="s">
        <v>129</v>
      </c>
      <c r="J32" s="13" t="s">
        <v>130</v>
      </c>
    </row>
    <row r="33" spans="5:5">
      <c r="E33" s="13" t="s">
        <v>131</v>
      </c>
    </row>
  </sheetData>
  <phoneticPr fontId="13" type="noConversion"/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6"/>
  <sheetViews>
    <sheetView view="pageBreakPreview" zoomScale="130" zoomScaleNormal="130" zoomScaleSheetLayoutView="130" workbookViewId="0">
      <pane ySplit="1" topLeftCell="A17" activePane="bottomLeft" state="frozen"/>
      <selection pane="bottomLeft" activeCell="E43" sqref="E43"/>
    </sheetView>
  </sheetViews>
  <sheetFormatPr defaultColWidth="9.140625" defaultRowHeight="12.75"/>
  <cols>
    <col min="1" max="1" width="10" style="13" bestFit="1" customWidth="1"/>
    <col min="2" max="2" width="10.7109375" style="13" customWidth="1"/>
    <col min="3" max="3" width="20.7109375" style="13" customWidth="1"/>
    <col min="4" max="4" width="19.140625" style="13" customWidth="1"/>
    <col min="5" max="5" width="11.28515625" style="13" customWidth="1"/>
    <col min="6" max="6" width="9.85546875" style="13" customWidth="1"/>
    <col min="7" max="7" width="5.28515625" style="13" bestFit="1" customWidth="1"/>
    <col min="8" max="10" width="9.42578125" style="13" customWidth="1"/>
    <col min="11" max="13" width="8.85546875" style="13" customWidth="1"/>
    <col min="14" max="14" width="108.28515625" style="13" customWidth="1"/>
    <col min="15" max="16384" width="9.140625" style="13"/>
  </cols>
  <sheetData>
    <row r="1" spans="1:15" ht="25.5">
      <c r="A1" s="141" t="s">
        <v>7</v>
      </c>
      <c r="B1" s="142" t="s">
        <v>132</v>
      </c>
      <c r="C1" s="142" t="s">
        <v>133</v>
      </c>
      <c r="D1" s="142" t="s">
        <v>134</v>
      </c>
      <c r="E1" s="142" t="s">
        <v>135</v>
      </c>
      <c r="F1" s="142" t="s">
        <v>136</v>
      </c>
      <c r="G1" s="143" t="s">
        <v>25</v>
      </c>
      <c r="H1" s="32" t="s">
        <v>137</v>
      </c>
      <c r="I1" s="32" t="s">
        <v>138</v>
      </c>
      <c r="J1" s="32" t="s">
        <v>139</v>
      </c>
      <c r="K1" s="32" t="s">
        <v>140</v>
      </c>
      <c r="L1" s="166" t="s">
        <v>141</v>
      </c>
      <c r="M1" s="166" t="s">
        <v>142</v>
      </c>
    </row>
    <row r="2" spans="1:15">
      <c r="A2" s="144">
        <v>43801</v>
      </c>
      <c r="B2" s="145">
        <v>0</v>
      </c>
      <c r="C2" s="145">
        <v>0</v>
      </c>
      <c r="D2" s="145">
        <v>0</v>
      </c>
      <c r="E2" s="145">
        <v>0</v>
      </c>
      <c r="F2" s="145">
        <v>0</v>
      </c>
      <c r="G2" s="146">
        <v>0</v>
      </c>
      <c r="H2" s="18">
        <v>0</v>
      </c>
      <c r="I2" s="18">
        <v>0</v>
      </c>
      <c r="J2" s="18">
        <v>0</v>
      </c>
      <c r="K2" s="18">
        <v>0</v>
      </c>
      <c r="L2" s="66">
        <f>SUM(B2:D2)</f>
        <v>0</v>
      </c>
      <c r="M2" s="66">
        <f>SUM(E2:F2)</f>
        <v>0</v>
      </c>
      <c r="N2" s="13" t="s">
        <v>143</v>
      </c>
      <c r="O2" s="13">
        <f>SUM(G2:K2)</f>
        <v>0</v>
      </c>
    </row>
    <row r="3" spans="1:15">
      <c r="A3" s="144">
        <v>43804</v>
      </c>
      <c r="B3" s="145">
        <v>200</v>
      </c>
      <c r="C3" s="145">
        <v>0</v>
      </c>
      <c r="D3" s="145">
        <v>0</v>
      </c>
      <c r="E3" s="145">
        <v>0</v>
      </c>
      <c r="F3" s="145">
        <v>0</v>
      </c>
      <c r="G3" s="146">
        <v>200</v>
      </c>
      <c r="H3" s="18">
        <v>0</v>
      </c>
      <c r="I3" s="18">
        <v>0</v>
      </c>
      <c r="J3" s="18">
        <v>0</v>
      </c>
      <c r="K3" s="18">
        <v>0</v>
      </c>
      <c r="L3" s="66">
        <f t="shared" ref="L3:L36" si="0">SUM(B3:D3)</f>
        <v>200</v>
      </c>
      <c r="M3" s="66">
        <f t="shared" ref="M3:M36" si="1">SUM(E3:F3)</f>
        <v>0</v>
      </c>
      <c r="N3" s="13" t="s">
        <v>144</v>
      </c>
      <c r="O3" s="13">
        <f t="shared" ref="O3:O27" si="2">SUM(G3:K3)</f>
        <v>200</v>
      </c>
    </row>
    <row r="4" spans="1:15">
      <c r="A4" s="144">
        <v>43809</v>
      </c>
      <c r="B4" s="145">
        <v>0</v>
      </c>
      <c r="C4" s="145">
        <v>0</v>
      </c>
      <c r="D4" s="145">
        <v>0</v>
      </c>
      <c r="E4" s="145">
        <v>0</v>
      </c>
      <c r="F4" s="145">
        <v>0</v>
      </c>
      <c r="G4" s="146">
        <v>0</v>
      </c>
      <c r="H4" s="18">
        <v>0</v>
      </c>
      <c r="I4" s="18">
        <v>0</v>
      </c>
      <c r="J4" s="18">
        <v>0</v>
      </c>
      <c r="K4" s="18">
        <v>0</v>
      </c>
      <c r="L4" s="66">
        <f t="shared" si="0"/>
        <v>0</v>
      </c>
      <c r="M4" s="66">
        <f t="shared" si="1"/>
        <v>0</v>
      </c>
      <c r="N4" s="13" t="s">
        <v>143</v>
      </c>
      <c r="O4" s="13">
        <f t="shared" si="2"/>
        <v>0</v>
      </c>
    </row>
    <row r="5" spans="1:15">
      <c r="A5" s="144">
        <v>43811</v>
      </c>
      <c r="B5" s="145">
        <v>11</v>
      </c>
      <c r="C5" s="145">
        <v>0</v>
      </c>
      <c r="D5" s="145">
        <v>0</v>
      </c>
      <c r="E5" s="145">
        <v>0</v>
      </c>
      <c r="F5" s="145">
        <v>0</v>
      </c>
      <c r="G5" s="146">
        <v>11</v>
      </c>
      <c r="H5" s="18">
        <v>0</v>
      </c>
      <c r="I5" s="18">
        <v>0</v>
      </c>
      <c r="J5" s="18">
        <v>0</v>
      </c>
      <c r="K5" s="18">
        <v>0</v>
      </c>
      <c r="L5" s="66">
        <f t="shared" si="0"/>
        <v>11</v>
      </c>
      <c r="M5" s="66">
        <f t="shared" si="1"/>
        <v>0</v>
      </c>
      <c r="N5" s="13" t="s">
        <v>143</v>
      </c>
      <c r="O5" s="13">
        <f t="shared" si="2"/>
        <v>11</v>
      </c>
    </row>
    <row r="6" spans="1:15">
      <c r="A6" s="144">
        <v>43815</v>
      </c>
      <c r="B6" s="145">
        <v>0</v>
      </c>
      <c r="C6" s="145">
        <v>0</v>
      </c>
      <c r="D6" s="145">
        <v>0</v>
      </c>
      <c r="E6" s="145">
        <v>0</v>
      </c>
      <c r="F6" s="145">
        <v>0</v>
      </c>
      <c r="G6" s="146">
        <v>0</v>
      </c>
      <c r="H6" s="18">
        <v>0</v>
      </c>
      <c r="I6" s="18">
        <v>0</v>
      </c>
      <c r="J6" s="18">
        <v>0</v>
      </c>
      <c r="K6" s="18">
        <v>0</v>
      </c>
      <c r="L6" s="66">
        <f t="shared" si="0"/>
        <v>0</v>
      </c>
      <c r="M6" s="66">
        <f t="shared" si="1"/>
        <v>0</v>
      </c>
      <c r="N6" s="13" t="s">
        <v>143</v>
      </c>
      <c r="O6" s="13">
        <f t="shared" si="2"/>
        <v>0</v>
      </c>
    </row>
    <row r="7" spans="1:15">
      <c r="A7" s="144">
        <v>43818</v>
      </c>
      <c r="B7" s="145">
        <v>1</v>
      </c>
      <c r="C7" s="145">
        <v>0</v>
      </c>
      <c r="D7" s="145">
        <v>0</v>
      </c>
      <c r="E7" s="145">
        <v>0</v>
      </c>
      <c r="F7" s="145">
        <v>0</v>
      </c>
      <c r="G7" s="146">
        <v>1</v>
      </c>
      <c r="H7" s="18">
        <v>0</v>
      </c>
      <c r="I7" s="18">
        <v>0</v>
      </c>
      <c r="J7" s="18">
        <v>0</v>
      </c>
      <c r="K7" s="18">
        <v>0</v>
      </c>
      <c r="L7" s="66">
        <f t="shared" si="0"/>
        <v>1</v>
      </c>
      <c r="M7" s="66">
        <f t="shared" si="1"/>
        <v>0</v>
      </c>
      <c r="N7" s="13" t="s">
        <v>143</v>
      </c>
      <c r="O7" s="13">
        <f t="shared" si="2"/>
        <v>1</v>
      </c>
    </row>
    <row r="8" spans="1:15">
      <c r="A8" s="144">
        <v>43830</v>
      </c>
      <c r="B8" s="145">
        <v>1</v>
      </c>
      <c r="C8" s="145">
        <v>0</v>
      </c>
      <c r="D8" s="145">
        <v>0</v>
      </c>
      <c r="E8" s="145">
        <v>0</v>
      </c>
      <c r="F8" s="145">
        <v>0</v>
      </c>
      <c r="G8" s="146">
        <v>1</v>
      </c>
      <c r="H8" s="18">
        <v>0</v>
      </c>
      <c r="I8" s="18">
        <v>0</v>
      </c>
      <c r="J8" s="18">
        <v>0</v>
      </c>
      <c r="K8" s="18">
        <v>0</v>
      </c>
      <c r="L8" s="66">
        <f t="shared" si="0"/>
        <v>1</v>
      </c>
      <c r="M8" s="66">
        <f t="shared" si="1"/>
        <v>0</v>
      </c>
      <c r="N8" s="13" t="s">
        <v>143</v>
      </c>
      <c r="O8" s="13">
        <f t="shared" si="2"/>
        <v>1</v>
      </c>
    </row>
    <row r="9" spans="1:15">
      <c r="A9" s="144">
        <v>43832</v>
      </c>
      <c r="B9" s="145">
        <v>1</v>
      </c>
      <c r="C9" s="145">
        <v>0</v>
      </c>
      <c r="D9" s="145">
        <v>0</v>
      </c>
      <c r="E9" s="145">
        <v>0</v>
      </c>
      <c r="F9" s="145">
        <v>0</v>
      </c>
      <c r="G9" s="146">
        <v>1</v>
      </c>
      <c r="H9" s="18">
        <v>0</v>
      </c>
      <c r="I9" s="18">
        <v>0</v>
      </c>
      <c r="J9" s="18">
        <v>0</v>
      </c>
      <c r="K9" s="18">
        <v>0</v>
      </c>
      <c r="L9" s="66">
        <f t="shared" si="0"/>
        <v>1</v>
      </c>
      <c r="M9" s="66">
        <f t="shared" si="1"/>
        <v>0</v>
      </c>
      <c r="N9" s="13" t="s">
        <v>143</v>
      </c>
      <c r="O9" s="13">
        <f t="shared" si="2"/>
        <v>1</v>
      </c>
    </row>
    <row r="10" spans="1:15">
      <c r="A10" s="144">
        <v>43836</v>
      </c>
      <c r="B10" s="145">
        <v>1</v>
      </c>
      <c r="C10" s="145">
        <v>0</v>
      </c>
      <c r="D10" s="145">
        <v>0</v>
      </c>
      <c r="E10" s="145">
        <v>0</v>
      </c>
      <c r="F10" s="145">
        <v>0</v>
      </c>
      <c r="G10" s="146">
        <v>1</v>
      </c>
      <c r="H10" s="18">
        <v>0</v>
      </c>
      <c r="I10" s="18">
        <v>0</v>
      </c>
      <c r="J10" s="18">
        <v>0</v>
      </c>
      <c r="K10" s="18">
        <v>0</v>
      </c>
      <c r="L10" s="66">
        <f t="shared" si="0"/>
        <v>1</v>
      </c>
      <c r="M10" s="66">
        <f t="shared" si="1"/>
        <v>0</v>
      </c>
      <c r="N10" s="13" t="s">
        <v>143</v>
      </c>
      <c r="O10" s="13">
        <f t="shared" si="2"/>
        <v>1</v>
      </c>
    </row>
    <row r="11" spans="1:15">
      <c r="A11" s="144">
        <v>43840</v>
      </c>
      <c r="B11" s="145">
        <v>31</v>
      </c>
      <c r="C11" s="145">
        <v>0</v>
      </c>
      <c r="D11" s="145">
        <v>0</v>
      </c>
      <c r="E11" s="145">
        <v>0</v>
      </c>
      <c r="F11" s="145">
        <v>0</v>
      </c>
      <c r="G11" s="146">
        <v>31</v>
      </c>
      <c r="H11" s="18">
        <v>0</v>
      </c>
      <c r="I11" s="18">
        <v>0</v>
      </c>
      <c r="J11" s="18">
        <v>0</v>
      </c>
      <c r="K11" s="18">
        <v>0</v>
      </c>
      <c r="L11" s="66">
        <f t="shared" si="0"/>
        <v>31</v>
      </c>
      <c r="M11" s="66">
        <f t="shared" si="1"/>
        <v>0</v>
      </c>
      <c r="N11" s="13" t="s">
        <v>143</v>
      </c>
      <c r="O11" s="13">
        <f t="shared" si="2"/>
        <v>31</v>
      </c>
    </row>
    <row r="12" spans="1:15">
      <c r="A12" s="144">
        <v>43843</v>
      </c>
      <c r="B12" s="145">
        <v>1</v>
      </c>
      <c r="C12" s="145">
        <v>0</v>
      </c>
      <c r="D12" s="145">
        <v>0</v>
      </c>
      <c r="E12" s="145">
        <v>0</v>
      </c>
      <c r="F12" s="145">
        <v>0</v>
      </c>
      <c r="G12" s="146">
        <v>1</v>
      </c>
      <c r="H12" s="18">
        <v>0</v>
      </c>
      <c r="I12" s="18">
        <v>0</v>
      </c>
      <c r="J12" s="18">
        <v>0</v>
      </c>
      <c r="K12" s="18">
        <v>0</v>
      </c>
      <c r="L12" s="66">
        <f t="shared" si="0"/>
        <v>1</v>
      </c>
      <c r="M12" s="66">
        <f t="shared" si="1"/>
        <v>0</v>
      </c>
      <c r="N12" s="13" t="s">
        <v>143</v>
      </c>
      <c r="O12" s="13">
        <f t="shared" si="2"/>
        <v>1</v>
      </c>
    </row>
    <row r="13" spans="1:15">
      <c r="A13" s="144">
        <v>43846</v>
      </c>
      <c r="B13" s="145">
        <v>6</v>
      </c>
      <c r="C13" s="145">
        <v>0</v>
      </c>
      <c r="D13" s="145">
        <v>0</v>
      </c>
      <c r="E13" s="145">
        <v>0</v>
      </c>
      <c r="F13" s="145">
        <v>0</v>
      </c>
      <c r="G13" s="146">
        <v>6</v>
      </c>
      <c r="H13" s="18">
        <v>0</v>
      </c>
      <c r="I13" s="18">
        <v>0</v>
      </c>
      <c r="J13" s="18">
        <v>0</v>
      </c>
      <c r="K13" s="18">
        <v>0</v>
      </c>
      <c r="L13" s="66">
        <f t="shared" si="0"/>
        <v>6</v>
      </c>
      <c r="M13" s="66">
        <f t="shared" si="1"/>
        <v>0</v>
      </c>
      <c r="N13" s="13" t="s">
        <v>143</v>
      </c>
      <c r="O13" s="13">
        <f t="shared" si="2"/>
        <v>6</v>
      </c>
    </row>
    <row r="14" spans="1:15">
      <c r="A14" s="144">
        <v>43851</v>
      </c>
      <c r="B14" s="145">
        <v>36</v>
      </c>
      <c r="C14" s="145">
        <v>0</v>
      </c>
      <c r="D14" s="145">
        <v>0</v>
      </c>
      <c r="E14" s="145">
        <v>0</v>
      </c>
      <c r="F14" s="145">
        <v>0</v>
      </c>
      <c r="G14" s="146">
        <v>36</v>
      </c>
      <c r="H14" s="18">
        <v>0</v>
      </c>
      <c r="I14" s="18">
        <v>0</v>
      </c>
      <c r="J14" s="18">
        <v>0</v>
      </c>
      <c r="K14" s="18">
        <v>0</v>
      </c>
      <c r="L14" s="66">
        <f t="shared" si="0"/>
        <v>36</v>
      </c>
      <c r="M14" s="66">
        <f t="shared" si="1"/>
        <v>0</v>
      </c>
      <c r="N14" s="13" t="s">
        <v>143</v>
      </c>
      <c r="O14" s="13">
        <f t="shared" si="2"/>
        <v>36</v>
      </c>
    </row>
    <row r="15" spans="1:15">
      <c r="A15" s="144">
        <v>43853</v>
      </c>
      <c r="B15" s="145">
        <v>1</v>
      </c>
      <c r="C15" s="145">
        <v>0</v>
      </c>
      <c r="D15" s="145">
        <v>0</v>
      </c>
      <c r="E15" s="145">
        <v>0</v>
      </c>
      <c r="F15" s="145">
        <v>0</v>
      </c>
      <c r="G15" s="146">
        <v>1</v>
      </c>
      <c r="H15" s="18">
        <v>0</v>
      </c>
      <c r="I15" s="18">
        <v>0</v>
      </c>
      <c r="J15" s="18">
        <v>0</v>
      </c>
      <c r="K15" s="18">
        <v>0</v>
      </c>
      <c r="L15" s="66">
        <f t="shared" si="0"/>
        <v>1</v>
      </c>
      <c r="M15" s="66">
        <f t="shared" si="1"/>
        <v>0</v>
      </c>
      <c r="N15" s="13" t="s">
        <v>143</v>
      </c>
      <c r="O15" s="13">
        <f t="shared" si="2"/>
        <v>1</v>
      </c>
    </row>
    <row r="16" spans="1:15">
      <c r="A16" s="144">
        <v>43857</v>
      </c>
      <c r="B16" s="145">
        <v>12</v>
      </c>
      <c r="C16" s="145">
        <v>0</v>
      </c>
      <c r="D16" s="145">
        <v>0</v>
      </c>
      <c r="E16" s="145">
        <v>0</v>
      </c>
      <c r="F16" s="145">
        <v>0</v>
      </c>
      <c r="G16" s="146">
        <v>12</v>
      </c>
      <c r="H16" s="18">
        <v>0</v>
      </c>
      <c r="I16" s="18">
        <v>0</v>
      </c>
      <c r="J16" s="18">
        <v>0</v>
      </c>
      <c r="K16" s="18">
        <v>0</v>
      </c>
      <c r="L16" s="66">
        <f t="shared" si="0"/>
        <v>12</v>
      </c>
      <c r="M16" s="66">
        <f t="shared" si="1"/>
        <v>0</v>
      </c>
      <c r="N16" s="13" t="s">
        <v>143</v>
      </c>
      <c r="O16" s="13">
        <f t="shared" si="2"/>
        <v>12</v>
      </c>
    </row>
    <row r="17" spans="1:15">
      <c r="A17" s="144">
        <v>43860</v>
      </c>
      <c r="B17" s="145">
        <v>28</v>
      </c>
      <c r="C17" s="145">
        <v>10</v>
      </c>
      <c r="D17" s="145">
        <v>0</v>
      </c>
      <c r="E17" s="145">
        <v>0</v>
      </c>
      <c r="F17" s="145">
        <v>0</v>
      </c>
      <c r="G17" s="146">
        <v>38</v>
      </c>
      <c r="H17" s="18">
        <v>0</v>
      </c>
      <c r="I17" s="18">
        <v>0</v>
      </c>
      <c r="J17" s="18">
        <v>0</v>
      </c>
      <c r="K17" s="18">
        <v>0</v>
      </c>
      <c r="L17" s="66">
        <f t="shared" si="0"/>
        <v>38</v>
      </c>
      <c r="M17" s="66">
        <f t="shared" si="1"/>
        <v>0</v>
      </c>
      <c r="N17" s="13" t="s">
        <v>145</v>
      </c>
      <c r="O17" s="13">
        <f t="shared" si="2"/>
        <v>38</v>
      </c>
    </row>
    <row r="18" spans="1:15">
      <c r="A18" s="144">
        <v>43864</v>
      </c>
      <c r="B18" s="147">
        <v>13</v>
      </c>
      <c r="C18" s="145">
        <v>0</v>
      </c>
      <c r="D18" s="145">
        <v>0</v>
      </c>
      <c r="E18" s="145">
        <v>0</v>
      </c>
      <c r="F18" s="145">
        <v>0</v>
      </c>
      <c r="G18" s="146">
        <v>13</v>
      </c>
      <c r="H18" s="18">
        <v>0</v>
      </c>
      <c r="I18" s="18">
        <v>0</v>
      </c>
      <c r="J18" s="18">
        <v>0</v>
      </c>
      <c r="K18" s="18">
        <v>0</v>
      </c>
      <c r="L18" s="66">
        <f t="shared" si="0"/>
        <v>13</v>
      </c>
      <c r="M18" s="66">
        <f t="shared" si="1"/>
        <v>0</v>
      </c>
      <c r="O18" s="13">
        <f t="shared" si="2"/>
        <v>13</v>
      </c>
    </row>
    <row r="19" spans="1:15">
      <c r="A19" s="144">
        <v>43871</v>
      </c>
      <c r="B19" s="145">
        <v>119</v>
      </c>
      <c r="C19" s="145">
        <v>13</v>
      </c>
      <c r="D19" s="145">
        <v>0</v>
      </c>
      <c r="E19" s="145">
        <v>0</v>
      </c>
      <c r="F19" s="145">
        <v>0</v>
      </c>
      <c r="G19" s="146">
        <v>132</v>
      </c>
      <c r="H19" s="18">
        <v>0</v>
      </c>
      <c r="I19" s="18">
        <v>0</v>
      </c>
      <c r="J19" s="18">
        <v>0</v>
      </c>
      <c r="K19" s="18">
        <v>0</v>
      </c>
      <c r="L19" s="66">
        <f t="shared" si="0"/>
        <v>132</v>
      </c>
      <c r="M19" s="66">
        <f t="shared" si="1"/>
        <v>0</v>
      </c>
      <c r="N19" s="13" t="s">
        <v>146</v>
      </c>
      <c r="O19" s="13">
        <f t="shared" si="2"/>
        <v>132</v>
      </c>
    </row>
    <row r="20" spans="1:15">
      <c r="A20" s="144">
        <v>43874</v>
      </c>
      <c r="B20" s="145">
        <v>74</v>
      </c>
      <c r="C20" s="145">
        <v>129</v>
      </c>
      <c r="D20" s="145">
        <v>11</v>
      </c>
      <c r="E20" s="145">
        <v>0</v>
      </c>
      <c r="F20" s="145">
        <v>0</v>
      </c>
      <c r="G20" s="146">
        <v>214</v>
      </c>
      <c r="H20" s="18">
        <v>0</v>
      </c>
      <c r="I20" s="18">
        <v>0</v>
      </c>
      <c r="J20" s="18">
        <v>0</v>
      </c>
      <c r="K20" s="18">
        <v>0</v>
      </c>
      <c r="L20" s="66">
        <f t="shared" si="0"/>
        <v>214</v>
      </c>
      <c r="M20" s="66">
        <f t="shared" si="1"/>
        <v>0</v>
      </c>
      <c r="N20" s="13" t="s">
        <v>147</v>
      </c>
      <c r="O20" s="13">
        <f t="shared" si="2"/>
        <v>214</v>
      </c>
    </row>
    <row r="21" spans="1:15">
      <c r="A21" s="144">
        <v>43879</v>
      </c>
      <c r="B21" s="145">
        <v>95</v>
      </c>
      <c r="C21" s="145">
        <v>9</v>
      </c>
      <c r="D21" s="145">
        <v>87</v>
      </c>
      <c r="E21" s="145">
        <v>0</v>
      </c>
      <c r="F21" s="145">
        <v>0</v>
      </c>
      <c r="G21" s="146">
        <v>191</v>
      </c>
      <c r="H21" s="18">
        <v>0</v>
      </c>
      <c r="I21" s="18">
        <v>0</v>
      </c>
      <c r="J21" s="18">
        <v>0</v>
      </c>
      <c r="K21" s="18">
        <v>0</v>
      </c>
      <c r="L21" s="66">
        <f t="shared" si="0"/>
        <v>191</v>
      </c>
      <c r="M21" s="66">
        <f t="shared" si="1"/>
        <v>0</v>
      </c>
      <c r="N21" s="13" t="s">
        <v>148</v>
      </c>
      <c r="O21" s="13">
        <f t="shared" si="2"/>
        <v>191</v>
      </c>
    </row>
    <row r="22" spans="1:15">
      <c r="A22" s="144">
        <v>43885</v>
      </c>
      <c r="B22" s="145">
        <v>80</v>
      </c>
      <c r="C22" s="145">
        <v>199</v>
      </c>
      <c r="D22" s="145">
        <v>139</v>
      </c>
      <c r="E22" s="145">
        <v>96</v>
      </c>
      <c r="F22" s="145">
        <v>7</v>
      </c>
      <c r="G22" s="146">
        <f>SUM(B22:F22)</f>
        <v>521</v>
      </c>
      <c r="H22" s="18">
        <v>19</v>
      </c>
      <c r="I22" s="18">
        <v>10</v>
      </c>
      <c r="J22" s="18">
        <v>0</v>
      </c>
      <c r="K22" s="18">
        <v>0</v>
      </c>
      <c r="L22" s="66">
        <f t="shared" si="0"/>
        <v>418</v>
      </c>
      <c r="M22" s="66">
        <f t="shared" si="1"/>
        <v>103</v>
      </c>
      <c r="N22" s="13" t="s">
        <v>149</v>
      </c>
      <c r="O22" s="13">
        <f t="shared" si="2"/>
        <v>550</v>
      </c>
    </row>
    <row r="23" spans="1:15">
      <c r="A23" s="144">
        <v>43888</v>
      </c>
      <c r="B23" s="145">
        <v>69</v>
      </c>
      <c r="C23" s="145">
        <v>189</v>
      </c>
      <c r="D23" s="145">
        <v>13</v>
      </c>
      <c r="E23" s="145">
        <v>182</v>
      </c>
      <c r="F23" s="145">
        <v>12</v>
      </c>
      <c r="G23" s="146">
        <f t="shared" ref="G23:G25" si="3">SUM(B23:F23)</f>
        <v>465</v>
      </c>
      <c r="H23" s="18">
        <v>40</v>
      </c>
      <c r="I23" s="18">
        <v>1</v>
      </c>
      <c r="J23" s="18">
        <v>0</v>
      </c>
      <c r="K23" s="18">
        <v>0</v>
      </c>
      <c r="L23" s="66">
        <f t="shared" si="0"/>
        <v>271</v>
      </c>
      <c r="M23" s="66">
        <f t="shared" si="1"/>
        <v>194</v>
      </c>
      <c r="N23" s="13" t="s">
        <v>150</v>
      </c>
      <c r="O23" s="13">
        <f t="shared" si="2"/>
        <v>506</v>
      </c>
    </row>
    <row r="24" spans="1:15">
      <c r="A24" s="144">
        <v>43892</v>
      </c>
      <c r="B24" s="145">
        <v>131</v>
      </c>
      <c r="C24" s="145">
        <v>295</v>
      </c>
      <c r="D24" s="145">
        <v>179</v>
      </c>
      <c r="E24" s="145">
        <v>1</v>
      </c>
      <c r="F24" s="145">
        <v>11</v>
      </c>
      <c r="G24" s="146">
        <f t="shared" si="3"/>
        <v>617</v>
      </c>
      <c r="H24" s="18">
        <v>100</v>
      </c>
      <c r="I24" s="18">
        <v>4</v>
      </c>
      <c r="J24" s="18">
        <v>29</v>
      </c>
      <c r="K24" s="18">
        <v>23</v>
      </c>
      <c r="L24" s="66">
        <f t="shared" si="0"/>
        <v>605</v>
      </c>
      <c r="M24" s="66">
        <f t="shared" si="1"/>
        <v>12</v>
      </c>
      <c r="N24" s="13" t="s">
        <v>151</v>
      </c>
      <c r="O24" s="13">
        <f t="shared" si="2"/>
        <v>773</v>
      </c>
    </row>
    <row r="25" spans="1:15">
      <c r="A25" s="144">
        <v>43895</v>
      </c>
      <c r="B25" s="145">
        <v>107</v>
      </c>
      <c r="C25" s="145">
        <v>345</v>
      </c>
      <c r="D25" s="145">
        <v>200</v>
      </c>
      <c r="E25" s="145">
        <v>7</v>
      </c>
      <c r="F25" s="145">
        <v>11</v>
      </c>
      <c r="G25" s="146">
        <f t="shared" si="3"/>
        <v>670</v>
      </c>
      <c r="H25" s="18">
        <v>118</v>
      </c>
      <c r="I25" s="18">
        <v>12</v>
      </c>
      <c r="J25" s="18">
        <v>240</v>
      </c>
      <c r="K25" s="18">
        <f>240-29</f>
        <v>211</v>
      </c>
      <c r="L25" s="66">
        <f t="shared" si="0"/>
        <v>652</v>
      </c>
      <c r="M25" s="66">
        <f t="shared" si="1"/>
        <v>18</v>
      </c>
      <c r="N25" s="13" t="s">
        <v>152</v>
      </c>
      <c r="O25" s="13">
        <f t="shared" si="2"/>
        <v>1251</v>
      </c>
    </row>
    <row r="26" spans="1:15">
      <c r="A26" s="144">
        <v>43899</v>
      </c>
      <c r="B26" s="145">
        <v>74</v>
      </c>
      <c r="C26" s="145">
        <v>239</v>
      </c>
      <c r="D26" s="145">
        <v>16</v>
      </c>
      <c r="E26" s="145">
        <v>0</v>
      </c>
      <c r="F26" s="145">
        <v>11</v>
      </c>
      <c r="G26" s="146">
        <f t="shared" ref="G26:G36" si="4">SUM(B26:F26)</f>
        <v>340</v>
      </c>
      <c r="H26" s="18">
        <v>118</v>
      </c>
      <c r="I26" s="18">
        <v>0</v>
      </c>
      <c r="J26" s="18">
        <v>240</v>
      </c>
      <c r="K26" s="18">
        <v>0</v>
      </c>
      <c r="L26" s="66">
        <f t="shared" si="0"/>
        <v>329</v>
      </c>
      <c r="M26" s="66">
        <f t="shared" si="1"/>
        <v>11</v>
      </c>
      <c r="O26" s="13">
        <f t="shared" si="2"/>
        <v>698</v>
      </c>
    </row>
    <row r="27" spans="1:15">
      <c r="A27" s="144">
        <v>43903</v>
      </c>
      <c r="B27" s="145">
        <v>91</v>
      </c>
      <c r="C27" s="145">
        <v>227</v>
      </c>
      <c r="D27" s="145">
        <v>9</v>
      </c>
      <c r="E27" s="145">
        <v>0</v>
      </c>
      <c r="F27" s="145">
        <v>11</v>
      </c>
      <c r="G27" s="146">
        <f t="shared" si="4"/>
        <v>338</v>
      </c>
      <c r="H27" s="18">
        <v>121</v>
      </c>
      <c r="I27" s="18">
        <v>3</v>
      </c>
      <c r="J27" s="18">
        <v>240</v>
      </c>
      <c r="K27" s="18">
        <v>0</v>
      </c>
      <c r="L27" s="66">
        <f t="shared" si="0"/>
        <v>327</v>
      </c>
      <c r="M27" s="66">
        <f t="shared" si="1"/>
        <v>11</v>
      </c>
      <c r="O27" s="13">
        <f t="shared" si="2"/>
        <v>702</v>
      </c>
    </row>
    <row r="28" spans="1:15">
      <c r="A28" s="144">
        <v>43907</v>
      </c>
      <c r="B28" s="145">
        <v>194</v>
      </c>
      <c r="C28" s="145">
        <v>248</v>
      </c>
      <c r="D28" s="145">
        <v>40</v>
      </c>
      <c r="E28" s="145">
        <v>0</v>
      </c>
      <c r="F28" s="145">
        <v>7</v>
      </c>
      <c r="G28" s="146">
        <f t="shared" si="4"/>
        <v>489</v>
      </c>
      <c r="H28" s="18">
        <v>128</v>
      </c>
      <c r="I28" s="18">
        <v>7</v>
      </c>
      <c r="J28" s="18">
        <v>458</v>
      </c>
      <c r="K28" s="18">
        <f>J28-J27</f>
        <v>218</v>
      </c>
      <c r="L28" s="66">
        <f t="shared" si="0"/>
        <v>482</v>
      </c>
      <c r="M28" s="66">
        <f t="shared" si="1"/>
        <v>7</v>
      </c>
      <c r="N28" s="13" t="s">
        <v>153</v>
      </c>
    </row>
    <row r="29" spans="1:15">
      <c r="A29" s="144">
        <v>43910</v>
      </c>
      <c r="B29" s="145">
        <v>114</v>
      </c>
      <c r="C29" s="145">
        <v>532</v>
      </c>
      <c r="D29" s="145">
        <v>166</v>
      </c>
      <c r="E29" s="145">
        <v>127</v>
      </c>
      <c r="F29" s="145">
        <v>0</v>
      </c>
      <c r="G29" s="146">
        <f t="shared" si="4"/>
        <v>939</v>
      </c>
      <c r="H29" s="18">
        <v>157</v>
      </c>
      <c r="I29" s="18">
        <f>H29-H28</f>
        <v>29</v>
      </c>
      <c r="J29" s="18">
        <v>548</v>
      </c>
      <c r="K29" s="18">
        <f>J29-J28</f>
        <v>90</v>
      </c>
      <c r="L29" s="66">
        <f t="shared" si="0"/>
        <v>812</v>
      </c>
      <c r="M29" s="66">
        <f t="shared" si="1"/>
        <v>127</v>
      </c>
    </row>
    <row r="30" spans="1:15">
      <c r="A30" s="153">
        <v>43917</v>
      </c>
      <c r="B30" s="154">
        <v>121</v>
      </c>
      <c r="C30" s="154">
        <v>376</v>
      </c>
      <c r="D30" s="154">
        <v>36</v>
      </c>
      <c r="E30" s="154">
        <v>0</v>
      </c>
      <c r="F30" s="154">
        <v>0</v>
      </c>
      <c r="G30" s="155">
        <f t="shared" si="4"/>
        <v>533</v>
      </c>
      <c r="H30" s="154">
        <v>206</v>
      </c>
      <c r="I30" s="154">
        <f>H30-H29</f>
        <v>49</v>
      </c>
      <c r="J30" s="154">
        <v>548</v>
      </c>
      <c r="K30" s="154">
        <v>0</v>
      </c>
      <c r="L30" s="66">
        <f t="shared" si="0"/>
        <v>533</v>
      </c>
      <c r="M30" s="66">
        <f t="shared" si="1"/>
        <v>0</v>
      </c>
    </row>
    <row r="31" spans="1:15">
      <c r="A31" s="156">
        <v>43923</v>
      </c>
      <c r="B31" s="157">
        <v>32</v>
      </c>
      <c r="C31" s="157">
        <v>405</v>
      </c>
      <c r="D31" s="157">
        <v>0</v>
      </c>
      <c r="E31" s="157">
        <v>20</v>
      </c>
      <c r="F31" s="157">
        <v>7</v>
      </c>
      <c r="G31" s="158">
        <f t="shared" si="4"/>
        <v>464</v>
      </c>
      <c r="H31" s="159">
        <v>223</v>
      </c>
      <c r="I31" s="157">
        <f>H31-H30</f>
        <v>17</v>
      </c>
      <c r="J31" s="157">
        <v>548</v>
      </c>
      <c r="K31" s="157">
        <v>0</v>
      </c>
      <c r="L31" s="66">
        <f t="shared" si="0"/>
        <v>437</v>
      </c>
      <c r="M31" s="66">
        <f t="shared" si="1"/>
        <v>27</v>
      </c>
    </row>
    <row r="32" spans="1:15">
      <c r="A32" s="164">
        <v>43929</v>
      </c>
      <c r="B32" s="18">
        <v>95</v>
      </c>
      <c r="C32" s="18">
        <v>444</v>
      </c>
      <c r="D32" s="18">
        <v>80</v>
      </c>
      <c r="E32" s="18">
        <v>45</v>
      </c>
      <c r="F32" s="18">
        <v>9</v>
      </c>
      <c r="G32" s="165">
        <f t="shared" si="4"/>
        <v>673</v>
      </c>
      <c r="H32" s="18">
        <v>223</v>
      </c>
      <c r="I32" s="18">
        <v>0</v>
      </c>
      <c r="J32" s="18">
        <v>548</v>
      </c>
      <c r="K32" s="18">
        <v>0</v>
      </c>
      <c r="L32" s="66">
        <f t="shared" si="0"/>
        <v>619</v>
      </c>
      <c r="M32" s="66">
        <f t="shared" si="1"/>
        <v>54</v>
      </c>
      <c r="N32" s="13" t="s">
        <v>154</v>
      </c>
    </row>
    <row r="33" spans="1:14">
      <c r="A33" s="160">
        <v>43935</v>
      </c>
      <c r="B33" s="18">
        <v>95</v>
      </c>
      <c r="C33" s="18">
        <v>110</v>
      </c>
      <c r="D33" s="18">
        <v>125</v>
      </c>
      <c r="E33" s="18">
        <v>244</v>
      </c>
      <c r="F33" s="18">
        <v>19</v>
      </c>
      <c r="G33" s="165">
        <f t="shared" si="4"/>
        <v>593</v>
      </c>
      <c r="H33" s="18">
        <v>223</v>
      </c>
      <c r="I33" s="18">
        <v>0</v>
      </c>
      <c r="J33" s="18">
        <v>548</v>
      </c>
      <c r="K33" s="18">
        <v>0</v>
      </c>
      <c r="L33" s="66">
        <f t="shared" si="0"/>
        <v>330</v>
      </c>
      <c r="M33" s="66">
        <f t="shared" si="1"/>
        <v>263</v>
      </c>
      <c r="N33" s="13" t="s">
        <v>155</v>
      </c>
    </row>
    <row r="34" spans="1:14">
      <c r="A34" s="160">
        <v>43942</v>
      </c>
      <c r="B34" s="18">
        <v>58</v>
      </c>
      <c r="C34" s="18">
        <v>132</v>
      </c>
      <c r="D34" s="18">
        <v>49</v>
      </c>
      <c r="E34" s="18">
        <v>76</v>
      </c>
      <c r="F34" s="18">
        <v>5</v>
      </c>
      <c r="G34" s="165">
        <f t="shared" si="4"/>
        <v>320</v>
      </c>
      <c r="H34" s="18">
        <v>223</v>
      </c>
      <c r="I34" s="18">
        <v>0</v>
      </c>
      <c r="J34" s="18">
        <v>548</v>
      </c>
      <c r="K34" s="18">
        <v>0</v>
      </c>
      <c r="L34" s="66">
        <f t="shared" si="0"/>
        <v>239</v>
      </c>
      <c r="M34" s="66">
        <f t="shared" si="1"/>
        <v>81</v>
      </c>
      <c r="N34" s="13" t="s">
        <v>156</v>
      </c>
    </row>
    <row r="35" spans="1:14">
      <c r="A35" s="160">
        <v>43949</v>
      </c>
      <c r="B35" s="18">
        <v>71</v>
      </c>
      <c r="C35" s="18">
        <v>38</v>
      </c>
      <c r="D35" s="18">
        <v>27</v>
      </c>
      <c r="E35" s="18">
        <v>21</v>
      </c>
      <c r="F35" s="18">
        <v>8</v>
      </c>
      <c r="G35" s="165">
        <f t="shared" si="4"/>
        <v>165</v>
      </c>
      <c r="H35" s="18">
        <v>223</v>
      </c>
      <c r="I35" s="18">
        <v>0</v>
      </c>
      <c r="J35" s="18">
        <v>548</v>
      </c>
      <c r="K35" s="18">
        <v>0</v>
      </c>
      <c r="L35" s="66">
        <f t="shared" si="0"/>
        <v>136</v>
      </c>
      <c r="M35" s="66">
        <f t="shared" si="1"/>
        <v>29</v>
      </c>
      <c r="N35" s="13" t="s">
        <v>157</v>
      </c>
    </row>
    <row r="36" spans="1:14">
      <c r="A36" s="160">
        <v>43955</v>
      </c>
      <c r="B36" s="18">
        <v>48</v>
      </c>
      <c r="C36" s="18">
        <v>5</v>
      </c>
      <c r="D36" s="18">
        <v>2</v>
      </c>
      <c r="E36" s="18">
        <v>0</v>
      </c>
      <c r="F36" s="18">
        <v>23</v>
      </c>
      <c r="G36" s="165">
        <f t="shared" si="4"/>
        <v>78</v>
      </c>
      <c r="H36" s="18">
        <v>223</v>
      </c>
      <c r="I36" s="18">
        <v>0</v>
      </c>
      <c r="J36" s="18">
        <v>548</v>
      </c>
      <c r="K36" s="18">
        <v>0</v>
      </c>
      <c r="L36" s="66">
        <f t="shared" si="0"/>
        <v>55</v>
      </c>
      <c r="M36" s="66">
        <f t="shared" si="1"/>
        <v>23</v>
      </c>
      <c r="N36" s="13" t="s">
        <v>143</v>
      </c>
    </row>
  </sheetData>
  <pageMargins left="0.7" right="0.7" top="0.75" bottom="0.75" header="0.3" footer="0.3"/>
  <pageSetup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4707-0155-4793-A32C-B686E1282E8A}">
  <dimension ref="A1:G158"/>
  <sheetViews>
    <sheetView zoomScale="130" zoomScaleNormal="130" workbookViewId="0">
      <selection activeCell="C8" sqref="C8"/>
    </sheetView>
  </sheetViews>
  <sheetFormatPr defaultRowHeight="15"/>
  <cols>
    <col min="1" max="1" width="11.28515625" bestFit="1" customWidth="1"/>
    <col min="4" max="5" width="9.140625" style="133"/>
  </cols>
  <sheetData>
    <row r="1" spans="1:5">
      <c r="A1" t="s">
        <v>7</v>
      </c>
      <c r="B1" t="s">
        <v>158</v>
      </c>
      <c r="C1" t="s">
        <v>159</v>
      </c>
      <c r="D1" s="133" t="s">
        <v>9</v>
      </c>
      <c r="E1" s="133" t="s">
        <v>160</v>
      </c>
    </row>
    <row r="2" spans="1:5">
      <c r="A2" s="95">
        <v>43800</v>
      </c>
      <c r="B2" t="s">
        <v>19</v>
      </c>
      <c r="C2" t="s">
        <v>19</v>
      </c>
      <c r="D2" s="133">
        <v>0</v>
      </c>
      <c r="E2" s="133">
        <v>0</v>
      </c>
    </row>
    <row r="3" spans="1:5">
      <c r="A3" s="95">
        <v>43801</v>
      </c>
      <c r="B3">
        <v>0</v>
      </c>
      <c r="C3">
        <v>0</v>
      </c>
      <c r="D3" s="133">
        <v>0</v>
      </c>
      <c r="E3" s="133">
        <v>0</v>
      </c>
    </row>
    <row r="4" spans="1:5">
      <c r="A4" s="95">
        <v>43802</v>
      </c>
      <c r="B4" t="s">
        <v>19</v>
      </c>
      <c r="C4" t="s">
        <v>19</v>
      </c>
      <c r="D4" s="133">
        <v>0</v>
      </c>
      <c r="E4" s="133">
        <v>0</v>
      </c>
    </row>
    <row r="5" spans="1:5">
      <c r="A5" s="95">
        <v>43803</v>
      </c>
      <c r="B5" t="s">
        <v>19</v>
      </c>
      <c r="C5" t="s">
        <v>19</v>
      </c>
      <c r="D5" s="133">
        <v>0</v>
      </c>
      <c r="E5" s="133">
        <v>0</v>
      </c>
    </row>
    <row r="6" spans="1:5">
      <c r="A6" s="95">
        <v>43804</v>
      </c>
      <c r="B6">
        <v>200</v>
      </c>
      <c r="C6">
        <v>0</v>
      </c>
      <c r="D6" s="133">
        <v>0</v>
      </c>
      <c r="E6" s="133">
        <v>0</v>
      </c>
    </row>
    <row r="7" spans="1:5">
      <c r="A7" s="95">
        <v>43805</v>
      </c>
      <c r="B7" t="s">
        <v>19</v>
      </c>
      <c r="C7" t="s">
        <v>19</v>
      </c>
      <c r="D7" s="133">
        <v>0</v>
      </c>
      <c r="E7" s="133">
        <v>0</v>
      </c>
    </row>
    <row r="8" spans="1:5">
      <c r="A8" s="95">
        <v>43806</v>
      </c>
      <c r="B8" t="s">
        <v>19</v>
      </c>
      <c r="C8" t="s">
        <v>19</v>
      </c>
      <c r="D8" s="133">
        <v>0</v>
      </c>
      <c r="E8" s="133">
        <v>0</v>
      </c>
    </row>
    <row r="9" spans="1:5">
      <c r="A9" s="95">
        <v>43807</v>
      </c>
      <c r="B9" t="s">
        <v>19</v>
      </c>
      <c r="C9" t="s">
        <v>19</v>
      </c>
      <c r="D9" s="133">
        <v>0</v>
      </c>
      <c r="E9" s="133">
        <v>0</v>
      </c>
    </row>
    <row r="10" spans="1:5">
      <c r="A10" s="95">
        <v>43808</v>
      </c>
      <c r="B10" t="s">
        <v>19</v>
      </c>
      <c r="C10" t="s">
        <v>19</v>
      </c>
      <c r="D10" s="133">
        <v>0</v>
      </c>
      <c r="E10" s="133">
        <v>0</v>
      </c>
    </row>
    <row r="11" spans="1:5">
      <c r="A11" s="95">
        <v>43809</v>
      </c>
      <c r="B11">
        <v>0</v>
      </c>
      <c r="C11">
        <v>0</v>
      </c>
      <c r="D11" s="133">
        <v>0</v>
      </c>
      <c r="E11" s="133">
        <v>0</v>
      </c>
    </row>
    <row r="12" spans="1:5">
      <c r="A12" s="95">
        <v>43810</v>
      </c>
      <c r="B12" t="s">
        <v>19</v>
      </c>
      <c r="C12" t="s">
        <v>19</v>
      </c>
      <c r="D12" s="133">
        <v>0</v>
      </c>
      <c r="E12" s="133">
        <v>0</v>
      </c>
    </row>
    <row r="13" spans="1:5">
      <c r="A13" s="95">
        <v>43811</v>
      </c>
      <c r="B13">
        <v>11</v>
      </c>
      <c r="C13">
        <v>0</v>
      </c>
      <c r="D13" s="133">
        <v>0</v>
      </c>
      <c r="E13" s="133">
        <v>0</v>
      </c>
    </row>
    <row r="14" spans="1:5">
      <c r="A14" s="95">
        <v>43812</v>
      </c>
      <c r="B14" t="s">
        <v>19</v>
      </c>
      <c r="C14" t="s">
        <v>19</v>
      </c>
      <c r="D14" s="133">
        <v>0</v>
      </c>
      <c r="E14" s="133">
        <v>0</v>
      </c>
    </row>
    <row r="15" spans="1:5">
      <c r="A15" s="95">
        <v>43813</v>
      </c>
      <c r="B15" t="s">
        <v>19</v>
      </c>
      <c r="C15" t="s">
        <v>19</v>
      </c>
      <c r="D15" s="133">
        <v>0</v>
      </c>
      <c r="E15" s="133">
        <v>0</v>
      </c>
    </row>
    <row r="16" spans="1:5">
      <c r="A16" s="95">
        <v>43814</v>
      </c>
      <c r="B16" t="s">
        <v>19</v>
      </c>
      <c r="C16" t="s">
        <v>19</v>
      </c>
      <c r="D16" s="133">
        <v>0</v>
      </c>
      <c r="E16" s="133">
        <v>0</v>
      </c>
    </row>
    <row r="17" spans="1:5">
      <c r="A17" s="95">
        <v>43815</v>
      </c>
      <c r="B17">
        <v>0</v>
      </c>
      <c r="C17">
        <v>0</v>
      </c>
      <c r="D17" s="133">
        <v>0</v>
      </c>
      <c r="E17" s="133">
        <v>0</v>
      </c>
    </row>
    <row r="18" spans="1:5">
      <c r="A18" s="95">
        <v>43816</v>
      </c>
      <c r="B18" t="s">
        <v>19</v>
      </c>
      <c r="C18" t="s">
        <v>19</v>
      </c>
      <c r="D18" s="133">
        <v>0</v>
      </c>
      <c r="E18" s="133">
        <v>0</v>
      </c>
    </row>
    <row r="19" spans="1:5">
      <c r="A19" s="95">
        <v>43817</v>
      </c>
      <c r="B19" t="s">
        <v>19</v>
      </c>
      <c r="C19" t="s">
        <v>19</v>
      </c>
      <c r="D19" s="133">
        <v>0</v>
      </c>
      <c r="E19" s="133">
        <v>0</v>
      </c>
    </row>
    <row r="20" spans="1:5">
      <c r="A20" s="95">
        <v>43818</v>
      </c>
      <c r="B20">
        <v>1</v>
      </c>
      <c r="C20">
        <v>0</v>
      </c>
      <c r="D20" s="133">
        <v>0</v>
      </c>
      <c r="E20" s="133">
        <v>0</v>
      </c>
    </row>
    <row r="21" spans="1:5">
      <c r="A21" s="95">
        <v>43819</v>
      </c>
      <c r="B21" t="s">
        <v>19</v>
      </c>
      <c r="C21" t="s">
        <v>19</v>
      </c>
      <c r="D21" s="133">
        <v>0</v>
      </c>
      <c r="E21" s="133">
        <v>0</v>
      </c>
    </row>
    <row r="22" spans="1:5">
      <c r="A22" s="95">
        <v>43820</v>
      </c>
      <c r="B22" t="s">
        <v>19</v>
      </c>
      <c r="C22" t="s">
        <v>19</v>
      </c>
      <c r="D22" s="133">
        <v>0</v>
      </c>
      <c r="E22" s="133">
        <v>0</v>
      </c>
    </row>
    <row r="23" spans="1:5">
      <c r="A23" s="95">
        <v>43821</v>
      </c>
      <c r="B23" t="s">
        <v>19</v>
      </c>
      <c r="C23" t="s">
        <v>19</v>
      </c>
      <c r="D23" s="133">
        <v>0</v>
      </c>
      <c r="E23" s="133">
        <v>0</v>
      </c>
    </row>
    <row r="24" spans="1:5">
      <c r="A24" s="95">
        <v>43822</v>
      </c>
      <c r="B24" t="s">
        <v>19</v>
      </c>
      <c r="C24" t="s">
        <v>19</v>
      </c>
      <c r="D24" s="133">
        <v>0</v>
      </c>
      <c r="E24" s="133">
        <v>0</v>
      </c>
    </row>
    <row r="25" spans="1:5">
      <c r="A25" s="95">
        <v>43823</v>
      </c>
      <c r="B25" t="s">
        <v>19</v>
      </c>
      <c r="C25" t="s">
        <v>19</v>
      </c>
      <c r="D25" s="133">
        <v>0</v>
      </c>
      <c r="E25" s="133">
        <v>0</v>
      </c>
    </row>
    <row r="26" spans="1:5">
      <c r="A26" s="95">
        <v>43824</v>
      </c>
      <c r="B26" t="s">
        <v>19</v>
      </c>
      <c r="C26" t="s">
        <v>19</v>
      </c>
      <c r="D26" s="133">
        <v>0</v>
      </c>
      <c r="E26" s="133">
        <v>0</v>
      </c>
    </row>
    <row r="27" spans="1:5">
      <c r="A27" s="95">
        <v>43825</v>
      </c>
      <c r="B27" t="s">
        <v>19</v>
      </c>
      <c r="C27" t="s">
        <v>19</v>
      </c>
      <c r="D27" s="133">
        <v>0</v>
      </c>
      <c r="E27" s="133">
        <v>0</v>
      </c>
    </row>
    <row r="28" spans="1:5">
      <c r="A28" s="95">
        <v>43826</v>
      </c>
      <c r="B28" t="s">
        <v>19</v>
      </c>
      <c r="C28" t="s">
        <v>19</v>
      </c>
      <c r="D28" s="133">
        <v>0</v>
      </c>
      <c r="E28" s="133">
        <v>0</v>
      </c>
    </row>
    <row r="29" spans="1:5">
      <c r="A29" s="95">
        <v>43827</v>
      </c>
      <c r="B29" t="s">
        <v>19</v>
      </c>
      <c r="C29" t="s">
        <v>19</v>
      </c>
      <c r="D29" s="133">
        <v>0</v>
      </c>
      <c r="E29" s="133">
        <v>0</v>
      </c>
    </row>
    <row r="30" spans="1:5">
      <c r="A30" s="95">
        <v>43828</v>
      </c>
      <c r="B30" t="s">
        <v>19</v>
      </c>
      <c r="C30" t="s">
        <v>19</v>
      </c>
      <c r="D30" s="133">
        <v>0</v>
      </c>
      <c r="E30" s="133">
        <v>0</v>
      </c>
    </row>
    <row r="31" spans="1:5">
      <c r="A31" s="95">
        <v>43829</v>
      </c>
      <c r="B31" t="s">
        <v>19</v>
      </c>
      <c r="C31" t="s">
        <v>19</v>
      </c>
      <c r="D31" s="133">
        <v>0</v>
      </c>
      <c r="E31" s="133">
        <v>0</v>
      </c>
    </row>
    <row r="32" spans="1:5">
      <c r="A32" s="95">
        <v>43830</v>
      </c>
      <c r="B32">
        <v>1</v>
      </c>
      <c r="C32">
        <v>0</v>
      </c>
      <c r="D32" s="133">
        <v>0</v>
      </c>
      <c r="E32" s="133">
        <v>0</v>
      </c>
    </row>
    <row r="33" spans="1:5">
      <c r="A33" s="95">
        <v>43831</v>
      </c>
      <c r="B33" t="s">
        <v>19</v>
      </c>
      <c r="C33" t="s">
        <v>19</v>
      </c>
      <c r="D33" s="133">
        <v>0</v>
      </c>
      <c r="E33" s="133">
        <v>0</v>
      </c>
    </row>
    <row r="34" spans="1:5">
      <c r="A34" s="95">
        <v>43832</v>
      </c>
      <c r="B34">
        <v>1</v>
      </c>
      <c r="C34">
        <v>0</v>
      </c>
      <c r="D34" s="133">
        <v>0</v>
      </c>
      <c r="E34" s="133">
        <v>0</v>
      </c>
    </row>
    <row r="35" spans="1:5">
      <c r="A35" s="95">
        <v>43833</v>
      </c>
      <c r="B35" t="s">
        <v>19</v>
      </c>
      <c r="C35" t="s">
        <v>19</v>
      </c>
      <c r="D35" s="133">
        <v>0</v>
      </c>
      <c r="E35" s="133">
        <v>0</v>
      </c>
    </row>
    <row r="36" spans="1:5">
      <c r="A36" s="95">
        <v>43834</v>
      </c>
      <c r="B36" t="s">
        <v>19</v>
      </c>
      <c r="C36" t="s">
        <v>19</v>
      </c>
      <c r="D36" s="133">
        <v>0</v>
      </c>
      <c r="E36" s="133">
        <v>0</v>
      </c>
    </row>
    <row r="37" spans="1:5">
      <c r="A37" s="95">
        <v>43835</v>
      </c>
      <c r="B37" t="s">
        <v>19</v>
      </c>
      <c r="C37" t="s">
        <v>19</v>
      </c>
      <c r="D37" s="133">
        <v>0</v>
      </c>
      <c r="E37" s="133">
        <v>0</v>
      </c>
    </row>
    <row r="38" spans="1:5">
      <c r="A38" s="95">
        <v>43836</v>
      </c>
      <c r="B38">
        <v>1</v>
      </c>
      <c r="C38">
        <v>0</v>
      </c>
      <c r="D38" s="133">
        <v>0</v>
      </c>
      <c r="E38" s="133">
        <v>0</v>
      </c>
    </row>
    <row r="39" spans="1:5">
      <c r="A39" s="95">
        <v>43837</v>
      </c>
      <c r="B39" t="s">
        <v>19</v>
      </c>
      <c r="C39" t="s">
        <v>19</v>
      </c>
      <c r="D39" s="133">
        <v>0</v>
      </c>
      <c r="E39" s="133">
        <v>0</v>
      </c>
    </row>
    <row r="40" spans="1:5">
      <c r="A40" s="95">
        <v>43838</v>
      </c>
      <c r="B40" t="s">
        <v>19</v>
      </c>
      <c r="C40" t="s">
        <v>19</v>
      </c>
      <c r="D40" s="133">
        <v>0</v>
      </c>
      <c r="E40" s="133">
        <v>0</v>
      </c>
    </row>
    <row r="41" spans="1:5">
      <c r="A41" s="95">
        <v>43839</v>
      </c>
      <c r="B41" t="s">
        <v>19</v>
      </c>
      <c r="C41" t="s">
        <v>19</v>
      </c>
      <c r="D41" s="133">
        <v>0</v>
      </c>
      <c r="E41" s="133">
        <v>0</v>
      </c>
    </row>
    <row r="42" spans="1:5">
      <c r="A42" s="95">
        <v>43840</v>
      </c>
      <c r="B42">
        <v>31</v>
      </c>
      <c r="C42">
        <v>0</v>
      </c>
      <c r="D42" s="133">
        <v>0</v>
      </c>
      <c r="E42" s="133">
        <v>0</v>
      </c>
    </row>
    <row r="43" spans="1:5">
      <c r="A43" s="95">
        <v>43841</v>
      </c>
      <c r="B43" t="s">
        <v>19</v>
      </c>
      <c r="C43" t="s">
        <v>19</v>
      </c>
      <c r="D43" s="133">
        <v>0</v>
      </c>
      <c r="E43" s="133">
        <v>0</v>
      </c>
    </row>
    <row r="44" spans="1:5">
      <c r="A44" s="95">
        <v>43842</v>
      </c>
      <c r="B44" t="s">
        <v>19</v>
      </c>
      <c r="C44" t="s">
        <v>19</v>
      </c>
      <c r="D44" s="133">
        <v>0</v>
      </c>
      <c r="E44" s="133">
        <v>0</v>
      </c>
    </row>
    <row r="45" spans="1:5">
      <c r="A45" s="95">
        <v>43843</v>
      </c>
      <c r="B45">
        <v>1</v>
      </c>
      <c r="C45">
        <v>0</v>
      </c>
      <c r="D45" s="133">
        <v>0</v>
      </c>
      <c r="E45" s="133">
        <v>0</v>
      </c>
    </row>
    <row r="46" spans="1:5">
      <c r="A46" s="95">
        <v>43844</v>
      </c>
      <c r="B46" t="s">
        <v>19</v>
      </c>
      <c r="C46" t="s">
        <v>19</v>
      </c>
      <c r="D46" s="133">
        <v>0</v>
      </c>
      <c r="E46" s="133">
        <v>0</v>
      </c>
    </row>
    <row r="47" spans="1:5">
      <c r="A47" s="95">
        <v>43845</v>
      </c>
      <c r="B47" t="s">
        <v>19</v>
      </c>
      <c r="C47" t="s">
        <v>19</v>
      </c>
      <c r="D47" s="133">
        <v>0</v>
      </c>
      <c r="E47" s="133">
        <v>0</v>
      </c>
    </row>
    <row r="48" spans="1:5">
      <c r="A48" s="95">
        <v>43846</v>
      </c>
      <c r="B48">
        <v>6</v>
      </c>
      <c r="C48">
        <v>0</v>
      </c>
      <c r="D48" s="133">
        <v>0</v>
      </c>
      <c r="E48" s="133">
        <v>0</v>
      </c>
    </row>
    <row r="49" spans="1:5">
      <c r="A49" s="95">
        <v>43847</v>
      </c>
      <c r="B49" t="s">
        <v>19</v>
      </c>
      <c r="C49" t="s">
        <v>19</v>
      </c>
      <c r="D49" s="133">
        <v>0</v>
      </c>
      <c r="E49" s="133">
        <v>0</v>
      </c>
    </row>
    <row r="50" spans="1:5">
      <c r="A50" s="95">
        <v>43848</v>
      </c>
      <c r="B50" t="s">
        <v>19</v>
      </c>
      <c r="C50" t="s">
        <v>19</v>
      </c>
      <c r="D50" s="133">
        <v>0</v>
      </c>
      <c r="E50" s="133">
        <v>0</v>
      </c>
    </row>
    <row r="51" spans="1:5">
      <c r="A51" s="95">
        <v>43849</v>
      </c>
      <c r="B51" t="s">
        <v>19</v>
      </c>
      <c r="C51" t="s">
        <v>19</v>
      </c>
      <c r="D51" s="133">
        <v>0</v>
      </c>
      <c r="E51" s="133">
        <v>0</v>
      </c>
    </row>
    <row r="52" spans="1:5">
      <c r="A52" s="95">
        <v>43850</v>
      </c>
      <c r="B52" t="s">
        <v>19</v>
      </c>
      <c r="C52" t="s">
        <v>19</v>
      </c>
      <c r="D52" s="133">
        <v>0</v>
      </c>
      <c r="E52" s="133">
        <v>0</v>
      </c>
    </row>
    <row r="53" spans="1:5">
      <c r="A53" s="95">
        <v>43851</v>
      </c>
      <c r="B53">
        <v>36</v>
      </c>
      <c r="C53">
        <v>0</v>
      </c>
      <c r="D53" s="133">
        <v>0</v>
      </c>
      <c r="E53" s="133">
        <v>0</v>
      </c>
    </row>
    <row r="54" spans="1:5">
      <c r="A54" s="95">
        <v>43852</v>
      </c>
      <c r="B54" t="s">
        <v>19</v>
      </c>
      <c r="C54" t="s">
        <v>19</v>
      </c>
      <c r="D54" s="133">
        <v>0</v>
      </c>
      <c r="E54" s="133">
        <v>0</v>
      </c>
    </row>
    <row r="55" spans="1:5">
      <c r="A55" s="95">
        <v>43853</v>
      </c>
      <c r="B55">
        <v>1</v>
      </c>
      <c r="C55">
        <v>0</v>
      </c>
      <c r="D55" s="133">
        <v>0</v>
      </c>
      <c r="E55" s="133">
        <v>0</v>
      </c>
    </row>
    <row r="56" spans="1:5">
      <c r="A56" s="95">
        <v>43854</v>
      </c>
      <c r="B56" t="s">
        <v>19</v>
      </c>
      <c r="C56" t="s">
        <v>19</v>
      </c>
      <c r="D56" s="133">
        <v>0</v>
      </c>
      <c r="E56" s="133">
        <v>0</v>
      </c>
    </row>
    <row r="57" spans="1:5">
      <c r="A57" s="95">
        <v>43855</v>
      </c>
      <c r="B57" t="s">
        <v>19</v>
      </c>
      <c r="C57" t="s">
        <v>19</v>
      </c>
      <c r="D57" s="133">
        <v>0</v>
      </c>
      <c r="E57" s="133">
        <v>0</v>
      </c>
    </row>
    <row r="58" spans="1:5">
      <c r="A58" s="95">
        <v>43856</v>
      </c>
      <c r="B58" t="s">
        <v>19</v>
      </c>
      <c r="C58" t="s">
        <v>19</v>
      </c>
      <c r="D58" s="133">
        <v>0</v>
      </c>
      <c r="E58" s="133">
        <v>0</v>
      </c>
    </row>
    <row r="59" spans="1:5">
      <c r="A59" s="95">
        <v>43857</v>
      </c>
      <c r="B59">
        <v>12</v>
      </c>
      <c r="C59">
        <v>0</v>
      </c>
      <c r="D59" s="133">
        <v>0</v>
      </c>
      <c r="E59" s="133">
        <v>0</v>
      </c>
    </row>
    <row r="60" spans="1:5">
      <c r="A60" s="95">
        <v>43858</v>
      </c>
      <c r="B60" t="s">
        <v>19</v>
      </c>
      <c r="C60" t="s">
        <v>19</v>
      </c>
      <c r="D60" s="133">
        <v>0</v>
      </c>
      <c r="E60" s="133">
        <v>0</v>
      </c>
    </row>
    <row r="61" spans="1:5">
      <c r="A61" s="95">
        <v>43859</v>
      </c>
      <c r="B61" t="s">
        <v>19</v>
      </c>
      <c r="C61" t="s">
        <v>19</v>
      </c>
      <c r="D61" s="133">
        <v>0</v>
      </c>
      <c r="E61" s="133">
        <v>0</v>
      </c>
    </row>
    <row r="62" spans="1:5">
      <c r="A62" s="95">
        <v>43860</v>
      </c>
      <c r="B62">
        <v>38</v>
      </c>
      <c r="C62">
        <v>0</v>
      </c>
      <c r="D62" s="133">
        <v>0</v>
      </c>
      <c r="E62" s="133">
        <v>0</v>
      </c>
    </row>
    <row r="63" spans="1:5">
      <c r="A63" s="95">
        <v>43861</v>
      </c>
      <c r="B63" t="s">
        <v>19</v>
      </c>
      <c r="C63" t="s">
        <v>19</v>
      </c>
      <c r="D63" s="133">
        <v>0</v>
      </c>
      <c r="E63" s="133">
        <v>0</v>
      </c>
    </row>
    <row r="64" spans="1:5">
      <c r="A64" s="95">
        <v>43862</v>
      </c>
      <c r="B64" t="s">
        <v>19</v>
      </c>
      <c r="C64" t="s">
        <v>19</v>
      </c>
      <c r="D64" s="133">
        <v>0</v>
      </c>
      <c r="E64" s="133">
        <v>0</v>
      </c>
    </row>
    <row r="65" spans="1:5">
      <c r="A65" s="95">
        <v>43863</v>
      </c>
      <c r="B65" t="s">
        <v>19</v>
      </c>
      <c r="C65" t="s">
        <v>19</v>
      </c>
      <c r="D65" s="133">
        <v>0</v>
      </c>
      <c r="E65" s="133">
        <v>0</v>
      </c>
    </row>
    <row r="66" spans="1:5">
      <c r="A66" s="95">
        <v>43864</v>
      </c>
      <c r="B66">
        <v>13</v>
      </c>
      <c r="C66">
        <v>0</v>
      </c>
      <c r="D66" s="133">
        <v>0</v>
      </c>
      <c r="E66" s="133">
        <v>0</v>
      </c>
    </row>
    <row r="67" spans="1:5">
      <c r="A67" s="95">
        <v>43865</v>
      </c>
      <c r="B67" t="s">
        <v>19</v>
      </c>
      <c r="C67" t="s">
        <v>19</v>
      </c>
      <c r="D67" s="133">
        <v>0</v>
      </c>
      <c r="E67" s="133">
        <v>0</v>
      </c>
    </row>
    <row r="68" spans="1:5">
      <c r="A68" s="95">
        <v>43866</v>
      </c>
      <c r="B68" t="s">
        <v>19</v>
      </c>
      <c r="C68" t="s">
        <v>19</v>
      </c>
      <c r="D68" s="133">
        <v>0</v>
      </c>
      <c r="E68" s="133">
        <v>0</v>
      </c>
    </row>
    <row r="69" spans="1:5">
      <c r="A69" s="95">
        <v>43867</v>
      </c>
      <c r="B69" t="s">
        <v>19</v>
      </c>
      <c r="C69" t="s">
        <v>19</v>
      </c>
      <c r="D69" s="133">
        <v>0</v>
      </c>
      <c r="E69" s="133">
        <v>0</v>
      </c>
    </row>
    <row r="70" spans="1:5">
      <c r="A70" s="95">
        <v>43868</v>
      </c>
      <c r="B70" t="s">
        <v>19</v>
      </c>
      <c r="C70" t="s">
        <v>19</v>
      </c>
      <c r="D70" s="133">
        <v>0</v>
      </c>
      <c r="E70" s="133">
        <v>0</v>
      </c>
    </row>
    <row r="71" spans="1:5">
      <c r="A71" s="95">
        <v>43869</v>
      </c>
      <c r="B71" t="s">
        <v>19</v>
      </c>
      <c r="C71" t="s">
        <v>19</v>
      </c>
      <c r="D71" s="133">
        <v>0</v>
      </c>
      <c r="E71" s="133">
        <v>0</v>
      </c>
    </row>
    <row r="72" spans="1:5">
      <c r="A72" s="95">
        <v>43870</v>
      </c>
      <c r="B72" t="s">
        <v>19</v>
      </c>
      <c r="C72" t="s">
        <v>19</v>
      </c>
      <c r="D72" s="133">
        <v>0</v>
      </c>
      <c r="E72" s="133">
        <v>0</v>
      </c>
    </row>
    <row r="73" spans="1:5">
      <c r="A73" s="95">
        <v>43871</v>
      </c>
      <c r="B73">
        <v>132</v>
      </c>
      <c r="C73">
        <v>0</v>
      </c>
      <c r="D73" s="133">
        <v>0</v>
      </c>
      <c r="E73" s="133">
        <v>0</v>
      </c>
    </row>
    <row r="74" spans="1:5">
      <c r="A74" s="95">
        <v>43872</v>
      </c>
      <c r="B74" t="s">
        <v>19</v>
      </c>
      <c r="C74" t="s">
        <v>19</v>
      </c>
      <c r="D74" s="133">
        <v>0</v>
      </c>
      <c r="E74" s="133">
        <v>0</v>
      </c>
    </row>
    <row r="75" spans="1:5">
      <c r="A75" s="95">
        <v>43873</v>
      </c>
      <c r="B75" t="s">
        <v>19</v>
      </c>
      <c r="C75" t="s">
        <v>19</v>
      </c>
      <c r="D75" s="133">
        <v>0</v>
      </c>
      <c r="E75" s="133">
        <v>0</v>
      </c>
    </row>
    <row r="76" spans="1:5">
      <c r="A76" s="95">
        <v>43874</v>
      </c>
      <c r="B76">
        <v>214</v>
      </c>
      <c r="C76">
        <v>0</v>
      </c>
      <c r="D76" s="133">
        <v>0</v>
      </c>
      <c r="E76" s="133">
        <v>0</v>
      </c>
    </row>
    <row r="77" spans="1:5">
      <c r="A77" s="95">
        <v>43875</v>
      </c>
      <c r="B77" t="s">
        <v>19</v>
      </c>
      <c r="C77" t="s">
        <v>19</v>
      </c>
      <c r="D77" s="133">
        <v>0</v>
      </c>
      <c r="E77" s="133">
        <v>0</v>
      </c>
    </row>
    <row r="78" spans="1:5">
      <c r="A78" s="95">
        <v>43876</v>
      </c>
      <c r="B78" t="s">
        <v>19</v>
      </c>
      <c r="C78" t="s">
        <v>19</v>
      </c>
      <c r="D78" s="133">
        <v>0</v>
      </c>
      <c r="E78" s="133">
        <v>0</v>
      </c>
    </row>
    <row r="79" spans="1:5">
      <c r="A79" s="95">
        <v>43877</v>
      </c>
      <c r="B79" t="s">
        <v>19</v>
      </c>
      <c r="C79" t="s">
        <v>19</v>
      </c>
      <c r="D79" s="133">
        <v>0</v>
      </c>
      <c r="E79" s="133">
        <v>0</v>
      </c>
    </row>
    <row r="80" spans="1:5">
      <c r="A80" s="95">
        <v>43878</v>
      </c>
      <c r="B80" t="s">
        <v>19</v>
      </c>
      <c r="C80" t="s">
        <v>19</v>
      </c>
      <c r="D80" s="133">
        <v>0</v>
      </c>
      <c r="E80" s="133">
        <v>0</v>
      </c>
    </row>
    <row r="81" spans="1:7">
      <c r="A81" s="95">
        <v>43879</v>
      </c>
      <c r="B81">
        <v>191</v>
      </c>
      <c r="C81">
        <v>0</v>
      </c>
      <c r="D81" s="133">
        <v>0</v>
      </c>
      <c r="E81" s="133">
        <v>0</v>
      </c>
    </row>
    <row r="82" spans="1:7">
      <c r="A82" s="95">
        <v>43880</v>
      </c>
      <c r="B82" t="s">
        <v>19</v>
      </c>
      <c r="C82" t="s">
        <v>19</v>
      </c>
      <c r="D82" s="133">
        <v>0</v>
      </c>
      <c r="E82" s="133">
        <v>0</v>
      </c>
    </row>
    <row r="83" spans="1:7">
      <c r="A83" s="95">
        <v>43881</v>
      </c>
      <c r="B83" t="s">
        <v>19</v>
      </c>
      <c r="C83" t="s">
        <v>19</v>
      </c>
      <c r="D83" s="133">
        <v>0</v>
      </c>
      <c r="E83" s="133">
        <v>0</v>
      </c>
    </row>
    <row r="84" spans="1:7">
      <c r="A84" s="95">
        <v>43882</v>
      </c>
      <c r="B84" t="s">
        <v>19</v>
      </c>
      <c r="C84" t="s">
        <v>19</v>
      </c>
      <c r="D84" s="133">
        <v>0</v>
      </c>
      <c r="E84" s="133">
        <v>0</v>
      </c>
    </row>
    <row r="85" spans="1:7">
      <c r="A85" s="95">
        <v>43883</v>
      </c>
      <c r="B85" t="s">
        <v>19</v>
      </c>
      <c r="C85" t="s">
        <v>19</v>
      </c>
      <c r="D85" s="133">
        <v>0</v>
      </c>
      <c r="E85" s="133">
        <v>0</v>
      </c>
    </row>
    <row r="86" spans="1:7">
      <c r="A86" s="95">
        <v>43884</v>
      </c>
      <c r="B86" t="s">
        <v>19</v>
      </c>
      <c r="C86" t="s">
        <v>19</v>
      </c>
      <c r="D86" s="122">
        <v>19</v>
      </c>
      <c r="E86" s="122">
        <v>0</v>
      </c>
      <c r="F86" s="167"/>
      <c r="G86" s="168"/>
    </row>
    <row r="87" spans="1:7">
      <c r="A87" s="95">
        <v>43885</v>
      </c>
      <c r="B87">
        <v>418</v>
      </c>
      <c r="C87">
        <v>103</v>
      </c>
      <c r="D87" s="122">
        <v>10</v>
      </c>
      <c r="E87" s="122">
        <v>0</v>
      </c>
      <c r="F87" s="167"/>
      <c r="G87" s="168"/>
    </row>
    <row r="88" spans="1:7">
      <c r="A88" s="95">
        <v>43886</v>
      </c>
      <c r="B88" t="s">
        <v>19</v>
      </c>
      <c r="C88" t="s">
        <v>19</v>
      </c>
      <c r="D88" s="122">
        <v>10</v>
      </c>
      <c r="E88" s="122">
        <v>0</v>
      </c>
      <c r="F88" s="167"/>
      <c r="G88" s="168"/>
    </row>
    <row r="89" spans="1:7">
      <c r="A89" s="95">
        <v>43887</v>
      </c>
      <c r="B89" t="s">
        <v>19</v>
      </c>
      <c r="C89" t="s">
        <v>19</v>
      </c>
      <c r="D89" s="122">
        <v>0</v>
      </c>
      <c r="E89" s="122">
        <v>0</v>
      </c>
      <c r="F89" s="167"/>
      <c r="G89" s="168"/>
    </row>
    <row r="90" spans="1:7">
      <c r="A90" s="95">
        <v>43888</v>
      </c>
      <c r="B90">
        <v>271</v>
      </c>
      <c r="C90">
        <v>194</v>
      </c>
      <c r="D90" s="122">
        <v>28</v>
      </c>
      <c r="E90" s="122">
        <v>0</v>
      </c>
      <c r="F90" s="167"/>
      <c r="G90" s="168"/>
    </row>
    <row r="91" spans="1:7">
      <c r="A91" s="95">
        <v>43889</v>
      </c>
      <c r="B91" t="s">
        <v>19</v>
      </c>
      <c r="C91" t="s">
        <v>19</v>
      </c>
      <c r="D91" s="122">
        <v>0</v>
      </c>
      <c r="E91" s="122">
        <v>0</v>
      </c>
      <c r="F91" s="167"/>
      <c r="G91" s="168"/>
    </row>
    <row r="92" spans="1:7">
      <c r="A92" s="95">
        <v>43890</v>
      </c>
      <c r="B92" t="s">
        <v>19</v>
      </c>
      <c r="C92" t="s">
        <v>19</v>
      </c>
      <c r="D92" s="122">
        <v>18</v>
      </c>
      <c r="E92" s="122">
        <v>0</v>
      </c>
      <c r="F92" s="167"/>
      <c r="G92" s="168"/>
    </row>
    <row r="93" spans="1:7">
      <c r="A93" s="95">
        <v>43891</v>
      </c>
      <c r="B93" t="s">
        <v>19</v>
      </c>
      <c r="C93" t="s">
        <v>19</v>
      </c>
      <c r="D93" s="122">
        <v>11</v>
      </c>
      <c r="E93" s="122">
        <v>6</v>
      </c>
      <c r="F93" s="167"/>
      <c r="G93" s="168"/>
    </row>
    <row r="94" spans="1:7">
      <c r="A94" s="95">
        <v>43892</v>
      </c>
      <c r="B94">
        <v>605</v>
      </c>
      <c r="C94">
        <v>12</v>
      </c>
      <c r="D94" s="122">
        <v>4</v>
      </c>
      <c r="E94" s="122">
        <v>23</v>
      </c>
      <c r="F94" s="167"/>
      <c r="G94" s="168"/>
    </row>
    <row r="95" spans="1:7">
      <c r="A95" s="95">
        <v>43893</v>
      </c>
      <c r="B95" t="s">
        <v>19</v>
      </c>
      <c r="C95" t="s">
        <v>19</v>
      </c>
      <c r="D95" s="122">
        <v>3</v>
      </c>
      <c r="E95" s="122">
        <v>57</v>
      </c>
      <c r="F95" s="167"/>
      <c r="G95" s="168"/>
    </row>
    <row r="96" spans="1:7">
      <c r="A96" s="95">
        <v>43894</v>
      </c>
      <c r="B96" t="s">
        <v>19</v>
      </c>
      <c r="C96" t="s">
        <v>19</v>
      </c>
      <c r="D96" s="122">
        <v>9</v>
      </c>
      <c r="E96" s="122">
        <v>44</v>
      </c>
      <c r="F96" s="167"/>
      <c r="G96" s="168"/>
    </row>
    <row r="97" spans="1:7">
      <c r="A97" s="95">
        <v>43895</v>
      </c>
      <c r="B97">
        <v>652</v>
      </c>
      <c r="C97">
        <v>18</v>
      </c>
      <c r="D97" s="122">
        <v>2</v>
      </c>
      <c r="E97" s="122">
        <v>110</v>
      </c>
      <c r="F97" s="167"/>
      <c r="G97" s="168"/>
    </row>
    <row r="98" spans="1:7">
      <c r="A98" s="95">
        <v>43896</v>
      </c>
      <c r="B98" t="s">
        <v>19</v>
      </c>
      <c r="C98" t="s">
        <v>19</v>
      </c>
      <c r="D98" s="124">
        <v>0</v>
      </c>
      <c r="E98" s="124">
        <v>0</v>
      </c>
      <c r="F98" s="167"/>
      <c r="G98" s="168"/>
    </row>
    <row r="99" spans="1:7">
      <c r="A99" s="95">
        <v>43897</v>
      </c>
      <c r="B99" t="s">
        <v>19</v>
      </c>
      <c r="C99" t="s">
        <v>19</v>
      </c>
      <c r="D99" s="122">
        <v>0</v>
      </c>
      <c r="E99" s="122">
        <v>0</v>
      </c>
      <c r="F99" s="167"/>
      <c r="G99" s="168"/>
    </row>
    <row r="100" spans="1:7">
      <c r="A100" s="95">
        <v>43898</v>
      </c>
      <c r="B100" t="s">
        <v>19</v>
      </c>
      <c r="C100" t="s">
        <v>19</v>
      </c>
      <c r="D100" s="122">
        <v>0</v>
      </c>
      <c r="E100" s="122">
        <v>0</v>
      </c>
      <c r="F100" s="167"/>
      <c r="G100" s="168"/>
    </row>
    <row r="101" spans="1:7">
      <c r="A101" s="95">
        <v>43899</v>
      </c>
      <c r="B101">
        <v>329</v>
      </c>
      <c r="C101">
        <v>11</v>
      </c>
      <c r="D101" s="124">
        <v>0</v>
      </c>
      <c r="E101" s="124">
        <v>0</v>
      </c>
      <c r="F101" s="167"/>
      <c r="G101" s="168"/>
    </row>
    <row r="102" spans="1:7">
      <c r="A102" s="95">
        <v>43900</v>
      </c>
      <c r="B102" t="s">
        <v>19</v>
      </c>
      <c r="C102" t="s">
        <v>19</v>
      </c>
      <c r="D102" s="122">
        <v>0</v>
      </c>
      <c r="E102" s="122">
        <v>0</v>
      </c>
      <c r="F102" s="167"/>
      <c r="G102" s="168"/>
    </row>
    <row r="103" spans="1:7">
      <c r="A103" s="95">
        <v>43901</v>
      </c>
      <c r="B103" t="s">
        <v>19</v>
      </c>
      <c r="C103" t="s">
        <v>19</v>
      </c>
      <c r="D103" s="122">
        <v>0</v>
      </c>
      <c r="E103" s="122">
        <v>0</v>
      </c>
      <c r="F103" s="167"/>
      <c r="G103" s="168"/>
    </row>
    <row r="104" spans="1:7">
      <c r="A104" s="95">
        <v>43902</v>
      </c>
      <c r="B104" t="s">
        <v>19</v>
      </c>
      <c r="C104" t="s">
        <v>19</v>
      </c>
      <c r="D104" s="122">
        <v>0</v>
      </c>
      <c r="E104" s="122">
        <v>0</v>
      </c>
      <c r="F104" s="167"/>
      <c r="G104" s="168"/>
    </row>
    <row r="105" spans="1:7">
      <c r="A105" s="95">
        <v>43903</v>
      </c>
      <c r="B105">
        <v>327</v>
      </c>
      <c r="C105">
        <v>11</v>
      </c>
      <c r="D105" s="124">
        <v>3</v>
      </c>
      <c r="E105" s="124">
        <v>0</v>
      </c>
      <c r="F105" s="167"/>
      <c r="G105" s="168"/>
    </row>
    <row r="106" spans="1:7">
      <c r="A106" s="95">
        <v>43904</v>
      </c>
      <c r="B106" t="s">
        <v>19</v>
      </c>
      <c r="C106" t="s">
        <v>19</v>
      </c>
      <c r="D106" s="124">
        <v>0</v>
      </c>
      <c r="E106" s="124">
        <v>151</v>
      </c>
      <c r="F106" s="167"/>
      <c r="G106" s="168"/>
    </row>
    <row r="107" spans="1:7">
      <c r="A107" s="95">
        <v>43905</v>
      </c>
      <c r="B107" t="s">
        <v>19</v>
      </c>
      <c r="C107" t="s">
        <v>19</v>
      </c>
      <c r="D107" s="122">
        <v>0</v>
      </c>
      <c r="E107" s="124">
        <v>0</v>
      </c>
      <c r="F107" s="167"/>
      <c r="G107" s="168"/>
    </row>
    <row r="108" spans="1:7">
      <c r="A108" s="95">
        <v>43906</v>
      </c>
      <c r="B108" t="s">
        <v>19</v>
      </c>
      <c r="C108" t="s">
        <v>19</v>
      </c>
      <c r="D108" s="124">
        <v>7</v>
      </c>
      <c r="E108" s="122">
        <v>0</v>
      </c>
      <c r="F108" s="167"/>
      <c r="G108" s="168"/>
    </row>
    <row r="109" spans="1:7">
      <c r="A109" s="95">
        <v>43907</v>
      </c>
      <c r="B109">
        <v>482</v>
      </c>
      <c r="C109">
        <v>7</v>
      </c>
      <c r="D109" s="122">
        <v>0</v>
      </c>
      <c r="E109" s="122">
        <v>67</v>
      </c>
      <c r="F109" s="167"/>
      <c r="G109" s="168"/>
    </row>
    <row r="110" spans="1:7">
      <c r="A110" s="95">
        <v>43908</v>
      </c>
      <c r="B110" t="s">
        <v>19</v>
      </c>
      <c r="C110" t="s">
        <v>19</v>
      </c>
      <c r="D110" s="122">
        <v>4</v>
      </c>
      <c r="E110" s="122">
        <v>84</v>
      </c>
      <c r="F110" s="167"/>
      <c r="G110" s="168"/>
    </row>
    <row r="111" spans="1:7">
      <c r="A111" s="95">
        <v>43909</v>
      </c>
      <c r="B111" t="s">
        <v>19</v>
      </c>
      <c r="C111" t="s">
        <v>19</v>
      </c>
      <c r="D111" s="122">
        <v>6</v>
      </c>
      <c r="E111" s="124">
        <v>0</v>
      </c>
      <c r="F111" s="167"/>
      <c r="G111" s="168"/>
    </row>
    <row r="112" spans="1:7">
      <c r="A112" s="95">
        <v>43910</v>
      </c>
      <c r="B112">
        <v>812</v>
      </c>
      <c r="C112">
        <v>127</v>
      </c>
      <c r="D112" s="122">
        <v>19</v>
      </c>
      <c r="E112" s="124">
        <v>0</v>
      </c>
      <c r="F112" s="167"/>
      <c r="G112" s="168"/>
    </row>
    <row r="113" spans="1:7">
      <c r="A113" s="95">
        <v>43911</v>
      </c>
      <c r="B113" t="s">
        <v>19</v>
      </c>
      <c r="C113" t="s">
        <v>19</v>
      </c>
      <c r="D113" s="124">
        <v>30</v>
      </c>
      <c r="E113" s="124">
        <v>0</v>
      </c>
      <c r="F113" s="167"/>
      <c r="G113" s="168"/>
    </row>
    <row r="114" spans="1:7">
      <c r="A114" s="95">
        <v>43912</v>
      </c>
      <c r="B114" t="s">
        <v>19</v>
      </c>
      <c r="C114" t="s">
        <v>19</v>
      </c>
      <c r="D114" s="124">
        <v>0</v>
      </c>
      <c r="E114" s="124">
        <v>0</v>
      </c>
      <c r="F114" s="167"/>
      <c r="G114" s="168"/>
    </row>
    <row r="115" spans="1:7">
      <c r="A115" s="95">
        <v>43913</v>
      </c>
      <c r="B115" t="s">
        <v>19</v>
      </c>
      <c r="C115" t="s">
        <v>19</v>
      </c>
      <c r="D115" s="122">
        <v>0</v>
      </c>
      <c r="E115" s="124">
        <v>0</v>
      </c>
      <c r="F115" s="167"/>
      <c r="G115" s="168"/>
    </row>
    <row r="116" spans="1:7">
      <c r="A116" s="95">
        <v>43914</v>
      </c>
      <c r="B116" t="s">
        <v>19</v>
      </c>
      <c r="C116" t="s">
        <v>19</v>
      </c>
      <c r="D116" s="122">
        <v>4</v>
      </c>
      <c r="E116" s="124">
        <v>0</v>
      </c>
      <c r="F116" s="167"/>
      <c r="G116" s="168"/>
    </row>
    <row r="117" spans="1:7">
      <c r="A117" s="95">
        <v>43915</v>
      </c>
      <c r="B117" t="s">
        <v>19</v>
      </c>
      <c r="C117" t="s">
        <v>19</v>
      </c>
      <c r="D117" s="124">
        <v>12</v>
      </c>
      <c r="E117" s="122">
        <v>0</v>
      </c>
      <c r="F117" s="167"/>
      <c r="G117" s="168"/>
    </row>
    <row r="118" spans="1:7">
      <c r="A118" s="95">
        <v>43916</v>
      </c>
      <c r="B118" t="s">
        <v>19</v>
      </c>
      <c r="C118" t="s">
        <v>19</v>
      </c>
      <c r="D118" s="124">
        <v>2</v>
      </c>
      <c r="E118" s="122">
        <v>0</v>
      </c>
      <c r="F118" s="167"/>
      <c r="G118" s="168"/>
    </row>
    <row r="119" spans="1:7">
      <c r="A119" s="95">
        <v>43917</v>
      </c>
      <c r="B119">
        <v>533</v>
      </c>
      <c r="C119">
        <v>0</v>
      </c>
      <c r="D119" s="124">
        <v>7</v>
      </c>
      <c r="E119" s="124">
        <v>0</v>
      </c>
      <c r="F119" s="167"/>
      <c r="G119" s="168"/>
    </row>
    <row r="120" spans="1:7">
      <c r="A120" s="95">
        <v>43918</v>
      </c>
      <c r="B120" t="s">
        <v>19</v>
      </c>
      <c r="C120" t="s">
        <v>19</v>
      </c>
      <c r="D120" s="124">
        <v>6</v>
      </c>
      <c r="E120" s="124">
        <v>0</v>
      </c>
      <c r="F120" s="167"/>
      <c r="G120" s="168"/>
    </row>
    <row r="121" spans="1:7">
      <c r="A121" s="95">
        <v>43919</v>
      </c>
      <c r="B121" t="s">
        <v>19</v>
      </c>
      <c r="C121" t="s">
        <v>19</v>
      </c>
      <c r="D121" s="124">
        <v>0</v>
      </c>
      <c r="E121" s="124">
        <v>0</v>
      </c>
      <c r="F121" s="167"/>
      <c r="G121" s="168"/>
    </row>
    <row r="122" spans="1:7">
      <c r="A122" s="95">
        <v>43920</v>
      </c>
      <c r="B122" t="s">
        <v>19</v>
      </c>
      <c r="C122" t="s">
        <v>19</v>
      </c>
      <c r="D122" s="124">
        <v>0</v>
      </c>
      <c r="E122" s="122">
        <v>0</v>
      </c>
      <c r="F122" s="167"/>
      <c r="G122" s="168"/>
    </row>
    <row r="123" spans="1:7">
      <c r="A123" s="95">
        <v>43921</v>
      </c>
      <c r="B123" t="s">
        <v>19</v>
      </c>
      <c r="C123" t="s">
        <v>19</v>
      </c>
      <c r="D123" s="124">
        <v>2</v>
      </c>
      <c r="E123" s="124">
        <v>0</v>
      </c>
      <c r="F123" s="167"/>
      <c r="G123" s="168"/>
    </row>
    <row r="124" spans="1:7">
      <c r="A124" s="95">
        <v>43922</v>
      </c>
      <c r="B124" t="s">
        <v>19</v>
      </c>
      <c r="C124" t="s">
        <v>19</v>
      </c>
      <c r="D124" s="124">
        <v>0</v>
      </c>
      <c r="E124" s="122">
        <v>0</v>
      </c>
      <c r="F124" s="167"/>
      <c r="G124" s="168"/>
    </row>
    <row r="125" spans="1:7">
      <c r="A125" s="95">
        <v>43923</v>
      </c>
      <c r="B125">
        <v>437</v>
      </c>
      <c r="C125">
        <v>27</v>
      </c>
      <c r="D125" s="124">
        <v>0</v>
      </c>
      <c r="E125" s="124">
        <v>0</v>
      </c>
      <c r="F125" s="169"/>
      <c r="G125" s="169"/>
    </row>
    <row r="126" spans="1:7">
      <c r="A126" s="95">
        <v>43924</v>
      </c>
      <c r="B126" t="s">
        <v>19</v>
      </c>
      <c r="C126" t="s">
        <v>19</v>
      </c>
      <c r="D126" s="124">
        <v>0</v>
      </c>
      <c r="E126" s="124">
        <v>0</v>
      </c>
    </row>
    <row r="127" spans="1:7">
      <c r="A127" s="95">
        <v>43925</v>
      </c>
      <c r="B127" t="s">
        <v>19</v>
      </c>
      <c r="C127" t="s">
        <v>19</v>
      </c>
      <c r="D127" s="124">
        <v>0</v>
      </c>
      <c r="E127" s="124">
        <v>0</v>
      </c>
    </row>
    <row r="128" spans="1:7">
      <c r="A128" s="95">
        <v>43926</v>
      </c>
      <c r="B128" t="s">
        <v>19</v>
      </c>
      <c r="C128" t="s">
        <v>19</v>
      </c>
      <c r="D128" s="124">
        <v>0</v>
      </c>
      <c r="E128" s="124">
        <v>0</v>
      </c>
    </row>
    <row r="129" spans="1:5">
      <c r="A129" s="95">
        <v>43927</v>
      </c>
      <c r="B129" t="s">
        <v>19</v>
      </c>
      <c r="C129" t="s">
        <v>19</v>
      </c>
      <c r="D129" s="124">
        <v>0</v>
      </c>
      <c r="E129" s="124">
        <v>0</v>
      </c>
    </row>
    <row r="130" spans="1:5">
      <c r="A130" s="95">
        <v>43928</v>
      </c>
      <c r="B130" t="s">
        <v>19</v>
      </c>
      <c r="C130" t="s">
        <v>19</v>
      </c>
      <c r="D130" s="124">
        <v>0</v>
      </c>
      <c r="E130" s="124">
        <v>0</v>
      </c>
    </row>
    <row r="131" spans="1:5">
      <c r="A131" s="95">
        <v>43929</v>
      </c>
      <c r="B131">
        <v>619</v>
      </c>
      <c r="C131">
        <v>54</v>
      </c>
      <c r="D131" s="124">
        <v>0</v>
      </c>
      <c r="E131" s="124">
        <v>0</v>
      </c>
    </row>
    <row r="132" spans="1:5">
      <c r="A132" s="95">
        <v>43930</v>
      </c>
      <c r="B132" t="s">
        <v>19</v>
      </c>
      <c r="C132" t="s">
        <v>19</v>
      </c>
      <c r="D132" s="124">
        <v>0</v>
      </c>
      <c r="E132" s="124">
        <v>0</v>
      </c>
    </row>
    <row r="133" spans="1:5">
      <c r="A133" s="95">
        <v>43931</v>
      </c>
      <c r="B133" t="s">
        <v>19</v>
      </c>
      <c r="C133" t="s">
        <v>19</v>
      </c>
      <c r="D133" s="124">
        <v>0</v>
      </c>
      <c r="E133" s="124">
        <v>0</v>
      </c>
    </row>
    <row r="134" spans="1:5">
      <c r="A134" s="95">
        <v>43932</v>
      </c>
      <c r="B134" t="s">
        <v>19</v>
      </c>
      <c r="C134" t="s">
        <v>19</v>
      </c>
      <c r="D134" s="124">
        <v>0</v>
      </c>
      <c r="E134" s="124">
        <v>0</v>
      </c>
    </row>
    <row r="135" spans="1:5">
      <c r="A135" s="95">
        <v>43933</v>
      </c>
      <c r="B135" t="s">
        <v>19</v>
      </c>
      <c r="C135" t="s">
        <v>19</v>
      </c>
      <c r="D135" s="124">
        <v>0</v>
      </c>
      <c r="E135" s="124">
        <v>0</v>
      </c>
    </row>
    <row r="136" spans="1:5">
      <c r="A136" s="95">
        <v>43934</v>
      </c>
      <c r="B136" t="s">
        <v>19</v>
      </c>
      <c r="C136" t="s">
        <v>19</v>
      </c>
      <c r="D136" s="124">
        <v>0</v>
      </c>
      <c r="E136" s="124">
        <v>0</v>
      </c>
    </row>
    <row r="137" spans="1:5">
      <c r="A137" s="95">
        <v>43935</v>
      </c>
      <c r="B137">
        <v>330</v>
      </c>
      <c r="C137">
        <v>263</v>
      </c>
      <c r="D137" s="124">
        <v>0</v>
      </c>
      <c r="E137" s="124">
        <v>0</v>
      </c>
    </row>
    <row r="138" spans="1:5">
      <c r="A138" s="95">
        <v>43936</v>
      </c>
      <c r="B138" t="s">
        <v>19</v>
      </c>
      <c r="C138" t="s">
        <v>19</v>
      </c>
      <c r="D138" s="124">
        <v>0</v>
      </c>
      <c r="E138" s="124">
        <v>0</v>
      </c>
    </row>
    <row r="139" spans="1:5">
      <c r="A139" s="95">
        <v>43937</v>
      </c>
      <c r="B139" t="s">
        <v>19</v>
      </c>
      <c r="C139" t="s">
        <v>19</v>
      </c>
      <c r="D139" s="124">
        <v>0</v>
      </c>
      <c r="E139" s="124">
        <v>0</v>
      </c>
    </row>
    <row r="140" spans="1:5">
      <c r="A140" s="95">
        <v>43938</v>
      </c>
      <c r="B140" t="s">
        <v>19</v>
      </c>
      <c r="C140" t="s">
        <v>19</v>
      </c>
      <c r="D140" s="124">
        <v>0</v>
      </c>
      <c r="E140" s="124">
        <v>0</v>
      </c>
    </row>
    <row r="141" spans="1:5">
      <c r="A141" s="95">
        <v>43939</v>
      </c>
      <c r="B141" t="s">
        <v>19</v>
      </c>
      <c r="C141" t="s">
        <v>19</v>
      </c>
      <c r="D141" s="124">
        <v>0</v>
      </c>
      <c r="E141" s="124">
        <v>0</v>
      </c>
    </row>
    <row r="142" spans="1:5">
      <c r="A142" s="95">
        <v>43940</v>
      </c>
      <c r="B142" t="s">
        <v>19</v>
      </c>
      <c r="C142" t="s">
        <v>19</v>
      </c>
      <c r="D142" s="124">
        <v>0</v>
      </c>
      <c r="E142" s="124">
        <v>0</v>
      </c>
    </row>
    <row r="143" spans="1:5">
      <c r="A143" s="95">
        <v>43941</v>
      </c>
      <c r="B143" t="s">
        <v>19</v>
      </c>
      <c r="C143" t="s">
        <v>19</v>
      </c>
      <c r="D143" s="124">
        <v>0</v>
      </c>
      <c r="E143" s="124">
        <v>0</v>
      </c>
    </row>
    <row r="144" spans="1:5">
      <c r="A144" s="95">
        <v>43942</v>
      </c>
      <c r="B144">
        <v>239</v>
      </c>
      <c r="C144">
        <v>81</v>
      </c>
      <c r="D144" s="124">
        <v>0</v>
      </c>
      <c r="E144" s="124">
        <v>0</v>
      </c>
    </row>
    <row r="145" spans="1:5">
      <c r="A145" s="95">
        <v>43943</v>
      </c>
      <c r="B145" t="s">
        <v>19</v>
      </c>
      <c r="C145" t="s">
        <v>19</v>
      </c>
      <c r="D145" s="124">
        <v>0</v>
      </c>
      <c r="E145" s="124">
        <v>0</v>
      </c>
    </row>
    <row r="146" spans="1:5">
      <c r="A146" s="95">
        <v>43944</v>
      </c>
      <c r="B146" t="s">
        <v>19</v>
      </c>
      <c r="C146" t="s">
        <v>19</v>
      </c>
      <c r="D146" s="124">
        <v>0</v>
      </c>
      <c r="E146" s="124">
        <v>0</v>
      </c>
    </row>
    <row r="147" spans="1:5">
      <c r="A147" s="95">
        <v>43945</v>
      </c>
      <c r="B147" t="s">
        <v>19</v>
      </c>
      <c r="C147" t="s">
        <v>19</v>
      </c>
      <c r="D147" s="124">
        <v>0</v>
      </c>
      <c r="E147" s="124">
        <v>0</v>
      </c>
    </row>
    <row r="148" spans="1:5">
      <c r="A148" s="95">
        <v>43946</v>
      </c>
      <c r="B148" t="s">
        <v>19</v>
      </c>
      <c r="C148" t="s">
        <v>19</v>
      </c>
      <c r="D148" s="124">
        <v>0</v>
      </c>
      <c r="E148" s="124">
        <v>0</v>
      </c>
    </row>
    <row r="149" spans="1:5">
      <c r="A149" s="95">
        <v>43947</v>
      </c>
      <c r="B149" t="s">
        <v>19</v>
      </c>
      <c r="C149" t="s">
        <v>19</v>
      </c>
      <c r="D149" s="124">
        <v>0</v>
      </c>
      <c r="E149" s="124">
        <v>0</v>
      </c>
    </row>
    <row r="150" spans="1:5">
      <c r="A150" s="95">
        <v>43948</v>
      </c>
      <c r="B150" t="s">
        <v>19</v>
      </c>
      <c r="C150" t="s">
        <v>19</v>
      </c>
      <c r="D150" s="124">
        <v>0</v>
      </c>
      <c r="E150" s="124">
        <v>0</v>
      </c>
    </row>
    <row r="151" spans="1:5">
      <c r="A151" s="95">
        <v>43949</v>
      </c>
      <c r="B151">
        <v>136</v>
      </c>
      <c r="C151">
        <v>29</v>
      </c>
      <c r="D151" s="124">
        <v>0</v>
      </c>
      <c r="E151" s="124">
        <v>0</v>
      </c>
    </row>
    <row r="152" spans="1:5">
      <c r="A152" s="95">
        <v>43950</v>
      </c>
      <c r="B152" t="s">
        <v>19</v>
      </c>
      <c r="C152" t="s">
        <v>19</v>
      </c>
      <c r="D152" s="124">
        <v>0</v>
      </c>
      <c r="E152" s="124">
        <v>0</v>
      </c>
    </row>
    <row r="153" spans="1:5">
      <c r="A153" s="95">
        <v>43951</v>
      </c>
      <c r="B153" t="s">
        <v>19</v>
      </c>
      <c r="C153" t="s">
        <v>19</v>
      </c>
      <c r="D153" s="124">
        <v>0</v>
      </c>
      <c r="E153" s="124">
        <v>0</v>
      </c>
    </row>
    <row r="154" spans="1:5">
      <c r="A154" s="95">
        <v>43952</v>
      </c>
      <c r="B154" t="s">
        <v>19</v>
      </c>
      <c r="C154" t="s">
        <v>19</v>
      </c>
      <c r="D154" s="124">
        <v>0</v>
      </c>
      <c r="E154" s="124">
        <v>0</v>
      </c>
    </row>
    <row r="155" spans="1:5">
      <c r="A155" s="95">
        <v>43953</v>
      </c>
      <c r="B155" t="s">
        <v>19</v>
      </c>
      <c r="C155" t="s">
        <v>19</v>
      </c>
      <c r="D155" s="124">
        <v>0</v>
      </c>
      <c r="E155" s="124">
        <v>0</v>
      </c>
    </row>
    <row r="156" spans="1:5">
      <c r="A156" s="95">
        <v>43954</v>
      </c>
      <c r="B156" t="s">
        <v>19</v>
      </c>
      <c r="C156" t="s">
        <v>19</v>
      </c>
      <c r="D156" s="124">
        <v>0</v>
      </c>
      <c r="E156" s="124">
        <v>0</v>
      </c>
    </row>
    <row r="157" spans="1:5">
      <c r="A157" s="95">
        <v>43955</v>
      </c>
      <c r="B157">
        <v>55</v>
      </c>
      <c r="C157">
        <v>23</v>
      </c>
      <c r="D157" s="124">
        <v>0</v>
      </c>
      <c r="E157" s="124">
        <v>0</v>
      </c>
    </row>
    <row r="158" spans="1:5">
      <c r="A158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zoomScale="115" zoomScaleNormal="115" workbookViewId="0">
      <selection activeCell="E26" sqref="E26"/>
    </sheetView>
  </sheetViews>
  <sheetFormatPr defaultRowHeight="15"/>
  <cols>
    <col min="1" max="1" width="25.5703125" bestFit="1" customWidth="1"/>
    <col min="9" max="9" width="26" bestFit="1" customWidth="1"/>
  </cols>
  <sheetData>
    <row r="1" spans="1:13">
      <c r="A1" s="51" t="s">
        <v>161</v>
      </c>
      <c r="I1" s="51" t="s">
        <v>162</v>
      </c>
    </row>
    <row r="2" spans="1:13">
      <c r="A2" s="131"/>
      <c r="B2" s="131" t="s">
        <v>163</v>
      </c>
      <c r="C2" s="131" t="s">
        <v>164</v>
      </c>
      <c r="D2" s="131" t="s">
        <v>165</v>
      </c>
      <c r="E2" s="131" t="s">
        <v>166</v>
      </c>
      <c r="F2" s="131" t="s">
        <v>11</v>
      </c>
      <c r="G2" s="131" t="s">
        <v>25</v>
      </c>
      <c r="I2" s="131"/>
      <c r="J2" s="131" t="s">
        <v>165</v>
      </c>
      <c r="K2" s="131" t="s">
        <v>166</v>
      </c>
      <c r="L2" s="131" t="s">
        <v>167</v>
      </c>
      <c r="M2" s="131" t="s">
        <v>25</v>
      </c>
    </row>
    <row r="3" spans="1:13">
      <c r="A3" s="132" t="s">
        <v>168</v>
      </c>
      <c r="B3" s="133">
        <v>3</v>
      </c>
      <c r="C3" s="133">
        <v>16</v>
      </c>
      <c r="D3" s="133">
        <v>0</v>
      </c>
      <c r="E3" s="133">
        <v>2</v>
      </c>
      <c r="F3" s="133">
        <v>4</v>
      </c>
      <c r="G3" s="133">
        <f>SUM(B3:F3)</f>
        <v>25</v>
      </c>
      <c r="I3" s="132" t="s">
        <v>169</v>
      </c>
      <c r="J3" s="133">
        <v>0</v>
      </c>
      <c r="K3" s="133">
        <v>1</v>
      </c>
      <c r="L3" s="133">
        <v>6</v>
      </c>
      <c r="M3" s="133">
        <f>SUM(J3:L3)</f>
        <v>7</v>
      </c>
    </row>
    <row r="4" spans="1:13">
      <c r="A4" s="132" t="s">
        <v>170</v>
      </c>
      <c r="B4" s="133">
        <v>3</v>
      </c>
      <c r="C4" s="133">
        <v>14</v>
      </c>
      <c r="D4" s="133">
        <v>3</v>
      </c>
      <c r="E4" s="133">
        <v>2</v>
      </c>
      <c r="F4" s="133">
        <v>1</v>
      </c>
      <c r="G4" s="133">
        <f t="shared" ref="G4:G8" si="0">SUM(B4:F4)</f>
        <v>23</v>
      </c>
      <c r="I4" s="132" t="s">
        <v>168</v>
      </c>
      <c r="J4" s="133">
        <v>4</v>
      </c>
      <c r="K4" s="133">
        <v>5</v>
      </c>
      <c r="L4" s="133">
        <v>0</v>
      </c>
      <c r="M4" s="133">
        <f t="shared" ref="M4:M13" si="1">SUM(J4:L4)</f>
        <v>9</v>
      </c>
    </row>
    <row r="5" spans="1:13">
      <c r="A5" s="132" t="s">
        <v>171</v>
      </c>
      <c r="B5" s="133">
        <v>4</v>
      </c>
      <c r="C5" s="133">
        <v>14</v>
      </c>
      <c r="D5" s="133">
        <v>4</v>
      </c>
      <c r="E5" s="133">
        <v>2</v>
      </c>
      <c r="F5" s="133">
        <v>0</v>
      </c>
      <c r="G5" s="133">
        <f t="shared" si="0"/>
        <v>24</v>
      </c>
      <c r="I5" s="132" t="s">
        <v>170</v>
      </c>
      <c r="J5" s="133">
        <v>2</v>
      </c>
      <c r="K5" s="133">
        <v>1</v>
      </c>
      <c r="L5" s="133">
        <v>2</v>
      </c>
      <c r="M5" s="133">
        <f t="shared" si="1"/>
        <v>5</v>
      </c>
    </row>
    <row r="6" spans="1:13">
      <c r="A6" s="132" t="s">
        <v>172</v>
      </c>
      <c r="B6" s="133">
        <v>1</v>
      </c>
      <c r="C6" s="133">
        <v>9</v>
      </c>
      <c r="D6" s="133">
        <v>2</v>
      </c>
      <c r="E6" s="133">
        <v>3</v>
      </c>
      <c r="F6" s="133">
        <v>17</v>
      </c>
      <c r="G6" s="133">
        <f t="shared" si="0"/>
        <v>32</v>
      </c>
      <c r="I6" s="132" t="s">
        <v>171</v>
      </c>
      <c r="J6" s="148">
        <v>3</v>
      </c>
      <c r="K6" s="133">
        <v>4</v>
      </c>
      <c r="L6" s="133">
        <v>6</v>
      </c>
      <c r="M6" s="133">
        <f t="shared" si="1"/>
        <v>13</v>
      </c>
    </row>
    <row r="7" spans="1:13">
      <c r="A7" s="134" t="s">
        <v>173</v>
      </c>
      <c r="B7" s="135">
        <v>1</v>
      </c>
      <c r="C7" s="135">
        <v>8</v>
      </c>
      <c r="D7" s="133">
        <v>2</v>
      </c>
      <c r="E7" s="133">
        <v>3</v>
      </c>
      <c r="F7" s="133">
        <v>10</v>
      </c>
      <c r="G7" s="133">
        <f t="shared" si="0"/>
        <v>24</v>
      </c>
      <c r="I7" s="132" t="s">
        <v>172</v>
      </c>
      <c r="J7" s="133">
        <v>1</v>
      </c>
      <c r="K7" s="133">
        <v>5</v>
      </c>
      <c r="L7" s="133">
        <v>5</v>
      </c>
      <c r="M7" s="133">
        <f t="shared" si="1"/>
        <v>11</v>
      </c>
    </row>
    <row r="8" spans="1:13">
      <c r="A8" s="134" t="s">
        <v>174</v>
      </c>
      <c r="B8" s="135">
        <v>3</v>
      </c>
      <c r="C8" s="135">
        <v>19</v>
      </c>
      <c r="D8" s="133">
        <v>1</v>
      </c>
      <c r="E8" s="133">
        <v>1</v>
      </c>
      <c r="F8" s="133">
        <v>0</v>
      </c>
      <c r="G8" s="133">
        <f t="shared" si="0"/>
        <v>24</v>
      </c>
      <c r="I8" s="132" t="s">
        <v>175</v>
      </c>
      <c r="J8" s="133">
        <v>3</v>
      </c>
      <c r="K8" s="133">
        <v>1</v>
      </c>
      <c r="L8" s="133">
        <v>2</v>
      </c>
      <c r="M8" s="133">
        <f t="shared" si="1"/>
        <v>6</v>
      </c>
    </row>
    <row r="9" spans="1:13">
      <c r="A9" s="134" t="s">
        <v>176</v>
      </c>
      <c r="B9" s="133">
        <v>6</v>
      </c>
      <c r="C9" s="133">
        <v>17</v>
      </c>
      <c r="D9" s="133">
        <v>0</v>
      </c>
      <c r="E9" s="133">
        <v>0</v>
      </c>
      <c r="F9" s="133">
        <v>0</v>
      </c>
      <c r="G9" s="133">
        <f t="shared" ref="G9" si="2">SUM(B9:F9)</f>
        <v>23</v>
      </c>
      <c r="I9" s="132" t="s">
        <v>174</v>
      </c>
      <c r="J9" s="133">
        <v>0</v>
      </c>
      <c r="K9" s="133">
        <v>3</v>
      </c>
      <c r="L9" s="133">
        <v>7</v>
      </c>
      <c r="M9" s="133">
        <f t="shared" si="1"/>
        <v>10</v>
      </c>
    </row>
    <row r="10" spans="1:13">
      <c r="A10" s="134" t="s">
        <v>177</v>
      </c>
      <c r="B10" s="133">
        <v>3</v>
      </c>
      <c r="C10" s="133">
        <v>11</v>
      </c>
      <c r="D10" s="133">
        <v>2</v>
      </c>
      <c r="E10" s="133">
        <v>2</v>
      </c>
      <c r="F10" s="133">
        <v>18</v>
      </c>
      <c r="G10" s="133">
        <f t="shared" ref="G10:G17" si="3">SUM(B10:F10)</f>
        <v>36</v>
      </c>
      <c r="I10" s="134" t="s">
        <v>178</v>
      </c>
      <c r="J10" s="135">
        <v>3</v>
      </c>
      <c r="K10" s="135">
        <v>3</v>
      </c>
      <c r="L10" s="135">
        <v>0</v>
      </c>
      <c r="M10" s="133">
        <f t="shared" si="1"/>
        <v>6</v>
      </c>
    </row>
    <row r="11" spans="1:13">
      <c r="A11" s="134" t="s">
        <v>179</v>
      </c>
      <c r="B11" s="133">
        <v>0</v>
      </c>
      <c r="C11" s="133">
        <v>17</v>
      </c>
      <c r="D11" s="133">
        <v>3</v>
      </c>
      <c r="E11" s="133">
        <v>2</v>
      </c>
      <c r="F11" s="133">
        <v>5</v>
      </c>
      <c r="G11" s="133">
        <f t="shared" si="3"/>
        <v>27</v>
      </c>
      <c r="I11" s="134" t="s">
        <v>180</v>
      </c>
      <c r="J11" s="135">
        <v>3</v>
      </c>
      <c r="K11" s="135">
        <v>5</v>
      </c>
      <c r="L11" s="135">
        <v>3</v>
      </c>
      <c r="M11" s="133">
        <f t="shared" si="1"/>
        <v>11</v>
      </c>
    </row>
    <row r="12" spans="1:13">
      <c r="A12" s="134" t="s">
        <v>181</v>
      </c>
      <c r="B12" s="133">
        <v>6</v>
      </c>
      <c r="C12" s="133">
        <v>10</v>
      </c>
      <c r="D12" s="133">
        <v>5</v>
      </c>
      <c r="E12" s="133">
        <v>1</v>
      </c>
      <c r="F12" s="133">
        <v>7</v>
      </c>
      <c r="G12" s="133">
        <f t="shared" si="3"/>
        <v>29</v>
      </c>
      <c r="I12" s="134" t="s">
        <v>182</v>
      </c>
      <c r="J12" s="135">
        <v>6</v>
      </c>
      <c r="K12" s="135">
        <v>5</v>
      </c>
      <c r="L12" s="135">
        <v>0</v>
      </c>
      <c r="M12" s="133">
        <f t="shared" si="1"/>
        <v>11</v>
      </c>
    </row>
    <row r="13" spans="1:13">
      <c r="A13" s="134" t="s">
        <v>180</v>
      </c>
      <c r="B13" s="133">
        <v>1</v>
      </c>
      <c r="C13" s="133">
        <v>15</v>
      </c>
      <c r="D13" s="133">
        <v>0</v>
      </c>
      <c r="E13" s="133">
        <v>3</v>
      </c>
      <c r="F13" s="133">
        <v>10</v>
      </c>
      <c r="G13" s="133">
        <f t="shared" si="3"/>
        <v>29</v>
      </c>
      <c r="I13" s="134" t="s">
        <v>183</v>
      </c>
      <c r="J13" s="135">
        <v>8</v>
      </c>
      <c r="K13" s="135">
        <v>8</v>
      </c>
      <c r="L13" s="135">
        <v>0</v>
      </c>
      <c r="M13" s="133">
        <f t="shared" si="1"/>
        <v>16</v>
      </c>
    </row>
    <row r="14" spans="1:13">
      <c r="A14" s="134" t="s">
        <v>182</v>
      </c>
      <c r="B14" s="133">
        <v>2</v>
      </c>
      <c r="C14" s="133">
        <v>13</v>
      </c>
      <c r="D14" s="133">
        <v>3</v>
      </c>
      <c r="E14" s="133">
        <v>2</v>
      </c>
      <c r="F14" s="133">
        <v>8</v>
      </c>
      <c r="G14" s="133">
        <f t="shared" si="3"/>
        <v>28</v>
      </c>
      <c r="I14" s="134"/>
      <c r="J14" s="135"/>
      <c r="K14" s="135"/>
      <c r="L14" s="135"/>
      <c r="M14" s="133"/>
    </row>
    <row r="15" spans="1:13">
      <c r="A15" s="134" t="s">
        <v>183</v>
      </c>
      <c r="B15" s="133">
        <v>2</v>
      </c>
      <c r="C15" s="133">
        <v>9</v>
      </c>
      <c r="D15" s="133">
        <v>2</v>
      </c>
      <c r="E15" s="133">
        <v>6</v>
      </c>
      <c r="F15" s="133">
        <v>12</v>
      </c>
      <c r="G15" s="133">
        <f t="shared" si="3"/>
        <v>31</v>
      </c>
      <c r="I15" s="136" t="s">
        <v>184</v>
      </c>
      <c r="J15" s="131">
        <f>SUM(J3:J14)</f>
        <v>33</v>
      </c>
      <c r="K15" s="131">
        <f t="shared" ref="K15:M15" si="4">SUM(K3:K14)</f>
        <v>41</v>
      </c>
      <c r="L15" s="131">
        <f t="shared" si="4"/>
        <v>31</v>
      </c>
      <c r="M15" s="131">
        <f t="shared" si="4"/>
        <v>105</v>
      </c>
    </row>
    <row r="16" spans="1:13">
      <c r="A16" s="134" t="s">
        <v>185</v>
      </c>
      <c r="B16" s="133">
        <v>3</v>
      </c>
      <c r="C16" s="133">
        <v>30</v>
      </c>
      <c r="D16" s="133">
        <v>1</v>
      </c>
      <c r="E16" s="133">
        <v>4</v>
      </c>
      <c r="F16" s="133">
        <v>18</v>
      </c>
      <c r="G16" s="133">
        <f t="shared" si="3"/>
        <v>56</v>
      </c>
      <c r="I16" s="149" t="s">
        <v>186</v>
      </c>
      <c r="J16" s="140">
        <v>35</v>
      </c>
      <c r="K16" s="140">
        <v>50</v>
      </c>
      <c r="L16" s="140">
        <v>20</v>
      </c>
      <c r="M16" s="140">
        <f>SUM(J16:L16)</f>
        <v>105</v>
      </c>
    </row>
    <row r="17" spans="1:13">
      <c r="A17" s="134" t="s">
        <v>187</v>
      </c>
      <c r="B17" s="133">
        <v>0</v>
      </c>
      <c r="C17" s="133">
        <v>0</v>
      </c>
      <c r="D17" s="133">
        <v>6</v>
      </c>
      <c r="E17" s="133">
        <v>9</v>
      </c>
      <c r="F17" s="133">
        <v>16</v>
      </c>
      <c r="G17" s="133">
        <f t="shared" si="3"/>
        <v>31</v>
      </c>
      <c r="I17" s="150" t="s">
        <v>188</v>
      </c>
      <c r="J17" s="151">
        <f>J16-J15</f>
        <v>2</v>
      </c>
      <c r="K17" s="151">
        <f>K16-K15</f>
        <v>9</v>
      </c>
      <c r="L17" s="151">
        <f>L16-L15</f>
        <v>-11</v>
      </c>
      <c r="M17" s="151">
        <f>M16-M15</f>
        <v>0</v>
      </c>
    </row>
    <row r="18" spans="1:13">
      <c r="A18" s="134"/>
      <c r="B18" s="133"/>
      <c r="C18" s="133"/>
      <c r="D18" s="133"/>
      <c r="E18" s="133"/>
      <c r="F18" s="133"/>
      <c r="G18" s="133"/>
      <c r="I18" s="95"/>
    </row>
    <row r="19" spans="1:13">
      <c r="A19" s="136" t="s">
        <v>184</v>
      </c>
      <c r="B19" s="131">
        <f t="shared" ref="B19:G19" si="5">SUM(B3:B18)</f>
        <v>38</v>
      </c>
      <c r="C19" s="131">
        <f t="shared" si="5"/>
        <v>202</v>
      </c>
      <c r="D19" s="131">
        <f t="shared" si="5"/>
        <v>34</v>
      </c>
      <c r="E19" s="131">
        <f t="shared" si="5"/>
        <v>42</v>
      </c>
      <c r="F19" s="131">
        <f t="shared" si="5"/>
        <v>126</v>
      </c>
      <c r="G19" s="131">
        <f t="shared" si="5"/>
        <v>442</v>
      </c>
      <c r="I19" s="95"/>
    </row>
    <row r="20" spans="1:13">
      <c r="A20" s="95"/>
    </row>
    <row r="21" spans="1:13">
      <c r="A21" s="139"/>
      <c r="I21">
        <f>548+204+2</f>
        <v>754</v>
      </c>
      <c r="K21">
        <v>548</v>
      </c>
      <c r="L21">
        <v>2</v>
      </c>
    </row>
    <row r="22" spans="1:13">
      <c r="A22" s="95"/>
      <c r="I22" s="152">
        <f>754+61</f>
        <v>815</v>
      </c>
      <c r="K22">
        <v>442</v>
      </c>
      <c r="L22">
        <v>199</v>
      </c>
    </row>
    <row r="23" spans="1:13">
      <c r="A23" s="95"/>
      <c r="I23" s="95"/>
      <c r="K23">
        <v>105</v>
      </c>
      <c r="L23">
        <v>5</v>
      </c>
    </row>
    <row r="24" spans="1:13">
      <c r="A24" s="95"/>
      <c r="I24" s="95"/>
      <c r="K24">
        <v>1</v>
      </c>
    </row>
    <row r="25" spans="1:13">
      <c r="I25" s="95"/>
    </row>
    <row r="26" spans="1:13">
      <c r="I26" s="95"/>
    </row>
    <row r="27" spans="1:13">
      <c r="I27" s="95"/>
    </row>
    <row r="28" spans="1:13">
      <c r="I28" s="95"/>
    </row>
    <row r="30" spans="1:13">
      <c r="G30" s="51"/>
    </row>
    <row r="34" spans="13:13">
      <c r="M34" s="5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817079FED5BE4299431E3C640ED594" ma:contentTypeVersion="7" ma:contentTypeDescription="Create a new document." ma:contentTypeScope="" ma:versionID="829cf5463e22a51ef8a4f77544676316">
  <xsd:schema xmlns:xsd="http://www.w3.org/2001/XMLSchema" xmlns:xs="http://www.w3.org/2001/XMLSchema" xmlns:p="http://schemas.microsoft.com/office/2006/metadata/properties" xmlns:ns2="b3f550a7-b0fb-4d6c-ba19-fd89c043d7b7" targetNamespace="http://schemas.microsoft.com/office/2006/metadata/properties" ma:root="true" ma:fieldsID="34cea4a34c03e81311164f29748f11b5" ns2:_="">
    <xsd:import namespace="b3f550a7-b0fb-4d6c-ba19-fd89c043d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550a7-b0fb-4d6c-ba19-fd89c043d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ECBC3E-31F5-401A-8213-803CC45A3E0A}"/>
</file>

<file path=customXml/itemProps2.xml><?xml version="1.0" encoding="utf-8"?>
<ds:datastoreItem xmlns:ds="http://schemas.openxmlformats.org/officeDocument/2006/customXml" ds:itemID="{897F5D3E-F916-428F-9506-52B4EDE6EED8}"/>
</file>

<file path=customXml/itemProps3.xml><?xml version="1.0" encoding="utf-8"?>
<ds:datastoreItem xmlns:ds="http://schemas.openxmlformats.org/officeDocument/2006/customXml" ds:itemID="{6A6F4150-4A8E-44CB-828B-67B1C96B3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Park Service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Stewart</dc:creator>
  <cp:keywords/>
  <dc:description/>
  <cp:lastModifiedBy/>
  <cp:revision/>
  <dcterms:created xsi:type="dcterms:W3CDTF">2013-10-23T21:06:13Z</dcterms:created>
  <dcterms:modified xsi:type="dcterms:W3CDTF">2025-12-01T23:56:46Z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0x010100C3817079FED5BE4299431E3C640ED594</vt:lpwstr>
  </property>
</Properties>
</file>