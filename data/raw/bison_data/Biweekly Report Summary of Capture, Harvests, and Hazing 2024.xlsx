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8"/>
  <workbookPr defaultThemeVersion="124226"/>
  <mc:AlternateContent xmlns:mc="http://schemas.openxmlformats.org/markup-compatibility/2006">
    <mc:Choice Requires="x15">
      <x15ac:absPath xmlns:x15ac="http://schemas.microsoft.com/office/spreadsheetml/2010/11/ac" url="Q:\NEW O DRIVE\Management\IBMP\Data files\Biweekly Report\"/>
    </mc:Choice>
  </mc:AlternateContent>
  <xr:revisionPtr revIDLastSave="0" documentId="8_{971F58B8-75F7-41F7-80EE-DB07440B00F2}" xr6:coauthVersionLast="47" xr6:coauthVersionMax="47" xr10:uidLastSave="{00000000-0000-0000-0000-000000000000}"/>
  <bookViews>
    <workbookView xWindow="-96" yWindow="-96" windowWidth="23232" windowHeight="13992" tabRatio="947" xr2:uid="{00000000-000D-0000-FFFF-FFFF00000000}"/>
  </bookViews>
  <sheets>
    <sheet name="BiWeekly Report" sheetId="11" r:id="rId1"/>
    <sheet name="Removals Summary" sheetId="3" r:id="rId2"/>
    <sheet name="Harvest Log" sheetId="13" r:id="rId3"/>
    <sheet name="Gardiner Basin Counts" sheetId="5" r:id="rId4"/>
    <sheet name="Bison Season Chronology" sheetId="14" r:id="rId5"/>
    <sheet name="Capture " sheetId="4" r:id="rId6"/>
    <sheet name="West Hazing" sheetId="6" r:id="rId7"/>
    <sheet name="Testing" sheetId="2" r:id="rId8"/>
    <sheet name="Consignment and Releases" sheetId="10" r:id="rId9"/>
  </sheets>
  <definedNames>
    <definedName name="_xlnm._FilterDatabase" localSheetId="8" hidden="1">'Consignment and Releases'!$A$1:$J$72</definedName>
    <definedName name="_xlnm._FilterDatabase" localSheetId="2" hidden="1">'Harvest Log'!$A$1:$Z$174</definedName>
    <definedName name="_xlnm.Print_Area" localSheetId="3">'Gardiner Basin Counts'!$A$2:$K$25</definedName>
    <definedName name="_xlnm.Print_Area" localSheetId="1">'Removals Summary'!$B$1:$O$32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5" i="11" l="1"/>
  <c r="V45" i="11"/>
  <c r="X45" i="11"/>
  <c r="Z45" i="11"/>
  <c r="AB45" i="11"/>
  <c r="AD45" i="11"/>
  <c r="AF45" i="11"/>
  <c r="T44" i="11"/>
  <c r="V44" i="11"/>
  <c r="X44" i="11"/>
  <c r="Z44" i="11"/>
  <c r="AB44" i="11"/>
  <c r="AD44" i="11"/>
  <c r="T43" i="11"/>
  <c r="V43" i="11"/>
  <c r="X43" i="11"/>
  <c r="Z43" i="11"/>
  <c r="AB43" i="11"/>
  <c r="AD43" i="11"/>
  <c r="T42" i="11"/>
  <c r="V42" i="11"/>
  <c r="X42" i="11"/>
  <c r="Z42" i="11"/>
  <c r="AB42" i="11"/>
  <c r="AD42" i="11"/>
  <c r="AF42" i="11"/>
  <c r="L29" i="11"/>
  <c r="M29" i="11"/>
  <c r="N29" i="11"/>
  <c r="O29" i="11"/>
  <c r="P29" i="11"/>
  <c r="Q29" i="11"/>
  <c r="K16" i="13"/>
  <c r="M6" i="13"/>
  <c r="K5" i="13"/>
  <c r="L5" i="13"/>
  <c r="M5" i="13"/>
  <c r="L6" i="13"/>
  <c r="K7" i="13"/>
  <c r="L7" i="13"/>
  <c r="M7" i="13"/>
  <c r="K8" i="13"/>
  <c r="L8" i="13"/>
  <c r="M8" i="13"/>
  <c r="K9" i="13"/>
  <c r="L9" i="13"/>
  <c r="M9" i="13"/>
  <c r="K10" i="13"/>
  <c r="L10" i="13"/>
  <c r="M10" i="13"/>
  <c r="K11" i="13"/>
  <c r="L11" i="13"/>
  <c r="M11" i="13"/>
  <c r="K12" i="13"/>
  <c r="L12" i="13"/>
  <c r="M12" i="13"/>
  <c r="K13" i="13"/>
  <c r="L13" i="13"/>
  <c r="M13" i="13"/>
  <c r="K14" i="13"/>
  <c r="L14" i="13"/>
  <c r="M14" i="13"/>
  <c r="K15" i="13"/>
  <c r="L15" i="13"/>
  <c r="M15" i="13"/>
  <c r="L16" i="13"/>
  <c r="M4" i="13"/>
  <c r="L4" i="13"/>
  <c r="K4" i="13"/>
  <c r="I20" i="13"/>
  <c r="M16" i="13" l="1"/>
  <c r="K6" i="13"/>
  <c r="T36" i="11"/>
  <c r="V36" i="11"/>
  <c r="X36" i="11"/>
  <c r="Z36" i="11"/>
  <c r="AB36" i="11"/>
  <c r="AD36" i="11"/>
  <c r="T37" i="11"/>
  <c r="V37" i="11"/>
  <c r="X37" i="11"/>
  <c r="Z37" i="11"/>
  <c r="AB37" i="11"/>
  <c r="AD37" i="11"/>
  <c r="T38" i="11"/>
  <c r="V38" i="11"/>
  <c r="X38" i="11"/>
  <c r="Z38" i="11"/>
  <c r="AB38" i="11"/>
  <c r="AD38" i="11"/>
  <c r="T35" i="11"/>
  <c r="V35" i="11"/>
  <c r="X35" i="11"/>
  <c r="Z35" i="11"/>
  <c r="AB35" i="11"/>
  <c r="AD35" i="11"/>
  <c r="AF35" i="11"/>
  <c r="I23" i="3" l="1" a="1"/>
  <c r="I23" i="3" s="1"/>
  <c r="H23" i="3" a="1"/>
  <c r="H23" i="3" s="1"/>
  <c r="G23" i="3" a="1"/>
  <c r="G23" i="3" s="1"/>
  <c r="F23" i="3" a="1"/>
  <c r="F23" i="3" s="1"/>
  <c r="E23" i="3" a="1"/>
  <c r="E23" i="3" s="1"/>
  <c r="D23" i="3" a="1"/>
  <c r="D23" i="3" s="1"/>
  <c r="I22" i="3" a="1"/>
  <c r="I22" i="3" s="1"/>
  <c r="H22" i="3" a="1"/>
  <c r="H22" i="3" s="1"/>
  <c r="G22" i="3" a="1"/>
  <c r="G22" i="3" s="1"/>
  <c r="F22" i="3" a="1"/>
  <c r="F22" i="3" s="1"/>
  <c r="H25" i="11" s="1"/>
  <c r="E22" i="3" a="1"/>
  <c r="E22" i="3" s="1"/>
  <c r="D22" i="3" a="1"/>
  <c r="D22" i="3" s="1"/>
  <c r="F26" i="11"/>
  <c r="H21" i="3" a="1"/>
  <c r="H21" i="3" s="1"/>
  <c r="J26" i="11" s="1"/>
  <c r="H18" i="3" a="1"/>
  <c r="H18" i="3" s="1"/>
  <c r="K23" i="11"/>
  <c r="K29" i="11" s="1"/>
  <c r="H17" i="3" a="1"/>
  <c r="H17" i="3" s="1"/>
  <c r="J23" i="11" s="1"/>
  <c r="J29" i="11" s="1"/>
  <c r="I23" i="11"/>
  <c r="I29" i="11" s="1"/>
  <c r="H23" i="11"/>
  <c r="H29" i="11" s="1"/>
  <c r="G23" i="11"/>
  <c r="G29" i="11" s="1"/>
  <c r="F23" i="11"/>
  <c r="F29" i="11" s="1"/>
  <c r="H16" i="3" a="1"/>
  <c r="H16" i="3" s="1"/>
  <c r="H19" i="3" a="1"/>
  <c r="H19" i="3" s="1"/>
  <c r="F25" i="11" l="1"/>
  <c r="K25" i="11"/>
  <c r="J25" i="11"/>
  <c r="I25" i="11"/>
  <c r="G25" i="11"/>
  <c r="P23" i="3"/>
  <c r="P16" i="3"/>
  <c r="P17" i="3"/>
  <c r="P22" i="3"/>
  <c r="L24" i="11"/>
  <c r="M24" i="11"/>
  <c r="N24" i="11"/>
  <c r="O24" i="11"/>
  <c r="P24" i="11"/>
  <c r="Q24" i="11"/>
  <c r="L25" i="11"/>
  <c r="M25" i="11"/>
  <c r="N25" i="11"/>
  <c r="O25" i="11"/>
  <c r="P25" i="11"/>
  <c r="Q25" i="11"/>
  <c r="L26" i="11"/>
  <c r="M26" i="11"/>
  <c r="N26" i="11"/>
  <c r="O26" i="11"/>
  <c r="P26" i="11"/>
  <c r="Q26" i="11"/>
  <c r="J26" i="3"/>
  <c r="K26" i="3"/>
  <c r="L26" i="3"/>
  <c r="M26" i="3"/>
  <c r="N26" i="3"/>
  <c r="O26" i="3"/>
  <c r="I21" i="3" a="1"/>
  <c r="I21" i="3" s="1"/>
  <c r="K26" i="11" s="1"/>
  <c r="G21" i="3" a="1"/>
  <c r="G21" i="3" s="1"/>
  <c r="I26" i="11" s="1"/>
  <c r="H26" i="11"/>
  <c r="E21" i="3" a="1"/>
  <c r="E21" i="3" s="1"/>
  <c r="G26" i="11" s="1"/>
  <c r="I19" i="3" a="1"/>
  <c r="I19" i="3" s="1"/>
  <c r="G19" i="3" a="1"/>
  <c r="G19" i="3" s="1"/>
  <c r="F19" i="3" a="1"/>
  <c r="F19" i="3" s="1"/>
  <c r="E19" i="3" a="1"/>
  <c r="E19" i="3" s="1"/>
  <c r="D19" i="3" a="1"/>
  <c r="D19" i="3" s="1"/>
  <c r="I18" i="3" a="1"/>
  <c r="I18" i="3" s="1"/>
  <c r="G18" i="3" a="1"/>
  <c r="G18" i="3" s="1"/>
  <c r="F18" i="3" a="1"/>
  <c r="F18" i="3" s="1"/>
  <c r="H21" i="11" s="1"/>
  <c r="E18" i="3" a="1"/>
  <c r="E18" i="3" s="1"/>
  <c r="P21" i="3" l="1"/>
  <c r="P18" i="3"/>
  <c r="P19" i="3"/>
  <c r="G24" i="11"/>
  <c r="K24" i="11"/>
  <c r="I24" i="11"/>
  <c r="H24" i="11"/>
  <c r="F24" i="11"/>
  <c r="J24" i="11"/>
  <c r="T39" i="11"/>
  <c r="V39" i="11"/>
  <c r="X39" i="11"/>
  <c r="Z39" i="11"/>
  <c r="AB39" i="11"/>
  <c r="AD39" i="11"/>
  <c r="T40" i="11"/>
  <c r="V40" i="11"/>
  <c r="X40" i="11"/>
  <c r="Z40" i="11"/>
  <c r="AB40" i="11"/>
  <c r="AD40" i="11"/>
  <c r="T41" i="11"/>
  <c r="V41" i="11"/>
  <c r="X41" i="11"/>
  <c r="Z41" i="11"/>
  <c r="AB41" i="11"/>
  <c r="AD41" i="11"/>
  <c r="O25" i="3"/>
  <c r="N25" i="3"/>
  <c r="M25" i="3"/>
  <c r="M27" i="3" s="1"/>
  <c r="L25" i="3"/>
  <c r="K25" i="3"/>
  <c r="K27" i="3" s="1"/>
  <c r="J25" i="3"/>
  <c r="I25" i="3"/>
  <c r="H25" i="3"/>
  <c r="D25" i="3"/>
  <c r="G25" i="3"/>
  <c r="F25" i="3"/>
  <c r="M15" i="11"/>
  <c r="O15" i="11"/>
  <c r="M16" i="11"/>
  <c r="O16" i="11"/>
  <c r="O18" i="11"/>
  <c r="M18" i="11"/>
  <c r="L15" i="11"/>
  <c r="N15" i="11"/>
  <c r="P15" i="11"/>
  <c r="Q15" i="11"/>
  <c r="L16" i="11"/>
  <c r="N16" i="11"/>
  <c r="P16" i="11"/>
  <c r="Q16" i="11"/>
  <c r="Q19" i="11"/>
  <c r="N19" i="11"/>
  <c r="L19" i="11"/>
  <c r="Q18" i="11"/>
  <c r="P18" i="11"/>
  <c r="N18" i="11"/>
  <c r="G17" i="13"/>
  <c r="H17" i="13"/>
  <c r="I17" i="13"/>
  <c r="J17" i="13"/>
  <c r="E17" i="13"/>
  <c r="D17" i="13"/>
  <c r="C17" i="13"/>
  <c r="F17" i="13"/>
  <c r="AD28" i="11"/>
  <c r="AD29" i="11"/>
  <c r="AD30" i="11"/>
  <c r="AD31" i="11"/>
  <c r="AD32" i="11"/>
  <c r="AD33" i="11"/>
  <c r="AD34" i="11"/>
  <c r="AB28" i="11"/>
  <c r="AB29" i="11"/>
  <c r="AB30" i="11"/>
  <c r="AB31" i="11"/>
  <c r="AB32" i="11"/>
  <c r="AB33" i="11"/>
  <c r="AB34" i="11"/>
  <c r="Z28" i="11"/>
  <c r="Z29" i="11"/>
  <c r="Z30" i="11"/>
  <c r="Z31" i="11"/>
  <c r="Z32" i="11"/>
  <c r="Z33" i="11"/>
  <c r="Z34" i="11"/>
  <c r="X28" i="11"/>
  <c r="X29" i="11"/>
  <c r="X30" i="11"/>
  <c r="X31" i="11"/>
  <c r="X32" i="11"/>
  <c r="X33" i="11"/>
  <c r="X34" i="11"/>
  <c r="T28" i="11"/>
  <c r="V28" i="11"/>
  <c r="T29" i="11"/>
  <c r="V29" i="11"/>
  <c r="T30" i="11"/>
  <c r="V30" i="11"/>
  <c r="T31" i="11"/>
  <c r="V31" i="11"/>
  <c r="T32" i="11"/>
  <c r="V32" i="11"/>
  <c r="T33" i="11"/>
  <c r="V33" i="11"/>
  <c r="T34" i="11"/>
  <c r="V34" i="11"/>
  <c r="K22" i="5"/>
  <c r="K23" i="5"/>
  <c r="K24" i="5"/>
  <c r="K25" i="5"/>
  <c r="K26" i="5"/>
  <c r="K27" i="5"/>
  <c r="K28" i="5"/>
  <c r="K29" i="5"/>
  <c r="K30" i="5"/>
  <c r="K31" i="5"/>
  <c r="J22" i="5"/>
  <c r="J23" i="5"/>
  <c r="J24" i="5"/>
  <c r="J25" i="5"/>
  <c r="J26" i="5"/>
  <c r="J27" i="5"/>
  <c r="J28" i="5"/>
  <c r="J29" i="5"/>
  <c r="J30" i="5"/>
  <c r="J31" i="5"/>
  <c r="G26" i="5"/>
  <c r="H26" i="5"/>
  <c r="I26" i="5"/>
  <c r="G27" i="5"/>
  <c r="H27" i="5"/>
  <c r="I27" i="5"/>
  <c r="G28" i="5"/>
  <c r="H28" i="5"/>
  <c r="I28" i="5"/>
  <c r="G29" i="5"/>
  <c r="H29" i="5"/>
  <c r="I29" i="5"/>
  <c r="G30" i="5"/>
  <c r="H30" i="5"/>
  <c r="I30" i="5"/>
  <c r="G31" i="5"/>
  <c r="H31" i="5"/>
  <c r="I31" i="5"/>
  <c r="AF28" i="11"/>
  <c r="AF29" i="11"/>
  <c r="AF30" i="11"/>
  <c r="AF31" i="11"/>
  <c r="AF32" i="11"/>
  <c r="AF33" i="11"/>
  <c r="AF34" i="11"/>
  <c r="AF36" i="11"/>
  <c r="AF37" i="11"/>
  <c r="AF38" i="11"/>
  <c r="AF39" i="11"/>
  <c r="AF40" i="11"/>
  <c r="AF41" i="11"/>
  <c r="AF43" i="11"/>
  <c r="AF44" i="11"/>
  <c r="G22" i="5"/>
  <c r="G23" i="5"/>
  <c r="G24" i="5"/>
  <c r="G25" i="5"/>
  <c r="I22" i="5"/>
  <c r="I23" i="5"/>
  <c r="I24" i="5"/>
  <c r="I25" i="5"/>
  <c r="H22" i="5"/>
  <c r="H23" i="5"/>
  <c r="H24" i="5"/>
  <c r="H25" i="5"/>
  <c r="Q17" i="11"/>
  <c r="P17" i="11"/>
  <c r="N17" i="11"/>
  <c r="L17" i="11"/>
  <c r="Q14" i="11"/>
  <c r="P14" i="11"/>
  <c r="P13" i="11"/>
  <c r="L13" i="11"/>
  <c r="Q12" i="11"/>
  <c r="P12" i="11"/>
  <c r="N12" i="11"/>
  <c r="Q11" i="11"/>
  <c r="P11" i="11"/>
  <c r="N11" i="11"/>
  <c r="L11" i="11"/>
  <c r="P10" i="11"/>
  <c r="L10" i="11"/>
  <c r="P9" i="11"/>
  <c r="P8" i="11"/>
  <c r="H20" i="11"/>
  <c r="H22" i="11"/>
  <c r="L20" i="11"/>
  <c r="Q20" i="11"/>
  <c r="M20" i="11"/>
  <c r="N20" i="11"/>
  <c r="O20" i="11"/>
  <c r="P20" i="11"/>
  <c r="L21" i="11"/>
  <c r="M21" i="11"/>
  <c r="N21" i="11"/>
  <c r="O21" i="11"/>
  <c r="P21" i="11"/>
  <c r="Q21" i="11"/>
  <c r="L22" i="11"/>
  <c r="M22" i="11"/>
  <c r="N22" i="11"/>
  <c r="O22" i="11"/>
  <c r="P22" i="11"/>
  <c r="Q22" i="11"/>
  <c r="F21" i="11"/>
  <c r="G21" i="11"/>
  <c r="I21" i="11"/>
  <c r="J21" i="11"/>
  <c r="K21" i="11"/>
  <c r="F22" i="11"/>
  <c r="G22" i="11"/>
  <c r="I22" i="11"/>
  <c r="J22" i="11"/>
  <c r="K22" i="11"/>
  <c r="G20" i="11"/>
  <c r="I20" i="11"/>
  <c r="J20" i="11"/>
  <c r="K20" i="11"/>
  <c r="F20" i="11"/>
  <c r="M8" i="11"/>
  <c r="O8" i="11"/>
  <c r="M9" i="11"/>
  <c r="O9" i="11"/>
  <c r="M10" i="11"/>
  <c r="O10" i="11"/>
  <c r="M11" i="11"/>
  <c r="O11" i="11"/>
  <c r="M12" i="11"/>
  <c r="O12" i="11"/>
  <c r="M13" i="11"/>
  <c r="O13" i="11"/>
  <c r="M14" i="11"/>
  <c r="O14" i="11"/>
  <c r="M17" i="11"/>
  <c r="O17" i="11"/>
  <c r="M19" i="11"/>
  <c r="O19" i="11"/>
  <c r="L17" i="13" l="1"/>
  <c r="K17" i="13"/>
  <c r="M17" i="13"/>
  <c r="F28" i="11"/>
  <c r="P20" i="3"/>
  <c r="I26" i="3"/>
  <c r="G26" i="3"/>
  <c r="G27" i="3" s="1"/>
  <c r="D26" i="3"/>
  <c r="F26" i="3"/>
  <c r="H26" i="3"/>
  <c r="E26" i="3"/>
  <c r="K28" i="11"/>
  <c r="J28" i="11"/>
  <c r="Q28" i="11"/>
  <c r="H28" i="11"/>
  <c r="M28" i="11"/>
  <c r="G28" i="11"/>
  <c r="P28" i="11"/>
  <c r="I28" i="11"/>
  <c r="L28" i="11"/>
  <c r="O28" i="11"/>
  <c r="N28" i="11"/>
  <c r="K27" i="11"/>
  <c r="H27" i="11"/>
  <c r="P27" i="11"/>
  <c r="P30" i="11" s="1"/>
  <c r="F27" i="11"/>
  <c r="N27" i="11"/>
  <c r="N30" i="11" s="1"/>
  <c r="J27" i="11"/>
  <c r="L27" i="11"/>
  <c r="L30" i="11" s="1"/>
  <c r="G18" i="13"/>
  <c r="C18" i="13"/>
  <c r="M27" i="11"/>
  <c r="G27" i="11"/>
  <c r="I27" i="11"/>
  <c r="Q27" i="11"/>
  <c r="O27" i="11"/>
  <c r="K30" i="11" l="1"/>
  <c r="I30" i="11"/>
  <c r="M30" i="11"/>
  <c r="O30" i="11"/>
  <c r="Q30" i="11"/>
  <c r="G30" i="11"/>
  <c r="H30" i="11"/>
  <c r="J30" i="11"/>
  <c r="F30" i="11"/>
  <c r="I19" i="13"/>
  <c r="F31" i="11" l="1"/>
  <c r="L31" i="11"/>
  <c r="F32" i="11" l="1"/>
  <c r="E25" i="3"/>
  <c r="E27" i="3" s="1"/>
  <c r="J24" i="3"/>
  <c r="J27" i="3" s="1"/>
  <c r="L24" i="3"/>
  <c r="L27" i="3" s="1"/>
  <c r="N24" i="3"/>
  <c r="N27" i="3" s="1"/>
  <c r="O24" i="3"/>
  <c r="O27" i="3" s="1"/>
  <c r="F24" i="3"/>
  <c r="F27" i="3" s="1"/>
  <c r="H24" i="3"/>
  <c r="I24" i="3"/>
  <c r="I27" i="3" s="1"/>
  <c r="D24" i="3"/>
  <c r="D27" i="3" s="1"/>
  <c r="H27" i="3" l="1"/>
  <c r="D28" i="3" s="1"/>
  <c r="P24" i="3"/>
  <c r="P28" i="3" s="1"/>
  <c r="J28" i="3"/>
  <c r="C28" i="3" l="1"/>
  <c r="H28" i="2" l="1"/>
  <c r="D27" i="2"/>
  <c r="E27" i="2"/>
  <c r="F27" i="2"/>
  <c r="G27" i="2"/>
  <c r="H27" i="2"/>
  <c r="I27" i="2"/>
  <c r="J27" i="2"/>
  <c r="K27" i="2"/>
  <c r="L27" i="2"/>
  <c r="M27" i="2"/>
  <c r="C27" i="2"/>
  <c r="B27" i="2"/>
  <c r="B28" i="2" s="1"/>
  <c r="B24"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<sst xmlns="http://schemas.openxmlformats.org/spreadsheetml/2006/main" count="278" uniqueCount="140">
  <si>
    <r>
      <t xml:space="preserve">Table 1. Removal Summary. </t>
    </r>
    <r>
      <rPr>
        <sz val="9"/>
        <color theme="1"/>
        <rFont val="Times New Roman"/>
        <family val="1"/>
      </rPr>
      <t>Number of Yellowstone bison removed through state and treaty harvests, sent to slaughter, placed in the Bison Conservation Transfer Program or otherwise removed from the population. Table abbreviations are adult (A), yearling (Y), calf (C), and unknown sex (Unk). Harvest numbers are preliminary, in-season totals that may change.</t>
    </r>
  </si>
  <si>
    <t xml:space="preserve">Table 2. Brucellosis Testing Summary. </t>
  </si>
  <si>
    <t>Date</t>
  </si>
  <si>
    <t>Male</t>
  </si>
  <si>
    <t>Female</t>
  </si>
  <si>
    <t>Adult</t>
  </si>
  <si>
    <t>Yearling</t>
  </si>
  <si>
    <t>Calf</t>
  </si>
  <si>
    <t>Removal Method</t>
  </si>
  <si>
    <t>NORTH</t>
  </si>
  <si>
    <t>WEST</t>
  </si>
  <si>
    <t>+</t>
  </si>
  <si>
    <t>-</t>
  </si>
  <si>
    <t>Unk</t>
  </si>
  <si>
    <t>A</t>
  </si>
  <si>
    <t>Y</t>
  </si>
  <si>
    <t>C</t>
  </si>
  <si>
    <t>Tribal ad State Hunting</t>
  </si>
  <si>
    <t>Harvest</t>
  </si>
  <si>
    <t>Harvest (Mont)</t>
  </si>
  <si>
    <t>Harvest (CSKT)</t>
  </si>
  <si>
    <t>Harvest (NPT)</t>
  </si>
  <si>
    <t>Harvest (CTUIR)</t>
  </si>
  <si>
    <t>Harvest (SB)</t>
  </si>
  <si>
    <t>Total</t>
  </si>
  <si>
    <t>Harvest (YN)</t>
  </si>
  <si>
    <t>Harvest (BT)</t>
  </si>
  <si>
    <t>Harvest (NARAP)</t>
  </si>
  <si>
    <t>Harvest (CROW)</t>
  </si>
  <si>
    <r>
      <t>NPS</t>
    </r>
    <r>
      <rPr>
        <vertAlign val="superscript"/>
        <sz val="8"/>
        <color rgb="FF000000"/>
        <rFont val="Times New Roman"/>
        <family val="1"/>
      </rPr>
      <t>1</t>
    </r>
  </si>
  <si>
    <r>
      <t>Table 3. Bison in Gardiner Basin.</t>
    </r>
    <r>
      <rPr>
        <sz val="9"/>
        <color theme="1"/>
        <rFont val="Times New Roman"/>
        <family val="1"/>
      </rPr>
      <t xml:space="preserve"> Numbers of bison counted in the Gardiner basin by ground observers during winter 2023-2024. Bison held within the Stephens Creek Capture Facility are not included in counts.</t>
    </r>
  </si>
  <si>
    <r>
      <t>MTFWP</t>
    </r>
    <r>
      <rPr>
        <vertAlign val="superscript"/>
        <sz val="8"/>
        <color rgb="FF000000"/>
        <rFont val="Times New Roman"/>
        <family val="1"/>
      </rPr>
      <t>2</t>
    </r>
  </si>
  <si>
    <t>Other</t>
  </si>
  <si>
    <t>NPS Capture Operation</t>
  </si>
  <si>
    <t>Other Removal</t>
  </si>
  <si>
    <t>Tribal Food Transfer Program</t>
  </si>
  <si>
    <t>Capture Pen Mortality</t>
  </si>
  <si>
    <t>Mammoth to Gardiner</t>
  </si>
  <si>
    <t>North Entrance to Stephens Creek</t>
  </si>
  <si>
    <t>Stephens Creek to Park Boundary</t>
  </si>
  <si>
    <t>North of Park Boundary</t>
  </si>
  <si>
    <t>Eagle Creek SMA</t>
  </si>
  <si>
    <t>MTDOL Management Shooting</t>
  </si>
  <si>
    <t>BCTP</t>
  </si>
  <si>
    <t>Entered in BCTP</t>
  </si>
  <si>
    <t>Holding</t>
  </si>
  <si>
    <t>Holding for BCTP selection</t>
  </si>
  <si>
    <t>Holding for release</t>
  </si>
  <si>
    <t>Released into park</t>
  </si>
  <si>
    <t>Removed to Date</t>
  </si>
  <si>
    <t>Total Removed</t>
  </si>
  <si>
    <r>
      <t>1</t>
    </r>
    <r>
      <rPr>
        <sz val="10"/>
        <color theme="1"/>
        <rFont val="Times New Roman"/>
        <family val="1"/>
      </rPr>
      <t xml:space="preserve"> - Wounded animals shot within Yellowstone by YNP personnel or found dead</t>
    </r>
  </si>
  <si>
    <r>
      <t>2</t>
    </r>
    <r>
      <rPr>
        <sz val="10"/>
        <color theme="1"/>
        <rFont val="Times New Roman"/>
        <family val="1"/>
      </rPr>
      <t xml:space="preserve"> - Wounding loss reported by MTFWP </t>
    </r>
  </si>
  <si>
    <t>Operations Year 2022-23</t>
  </si>
  <si>
    <r>
      <t>NPS</t>
    </r>
    <r>
      <rPr>
        <vertAlign val="superscript"/>
        <sz val="10"/>
        <color theme="1"/>
        <rFont val="Times New Roman"/>
        <family val="1"/>
      </rPr>
      <t>1</t>
    </r>
  </si>
  <si>
    <r>
      <t>MTFWP</t>
    </r>
    <r>
      <rPr>
        <vertAlign val="superscript"/>
        <sz val="10"/>
        <color theme="1"/>
        <rFont val="Times New Roman"/>
        <family val="1"/>
      </rPr>
      <t>2</t>
    </r>
  </si>
  <si>
    <t>Unreported</t>
  </si>
  <si>
    <t>Consigned to Slaughter</t>
  </si>
  <si>
    <t>Holding for BCTP Selection</t>
  </si>
  <si>
    <t>Released into Park</t>
  </si>
  <si>
    <t>Holding brucellosis exposed</t>
  </si>
  <si>
    <t>Holding brucellosis negative</t>
  </si>
  <si>
    <t>Year to Date</t>
  </si>
  <si>
    <t>HARVEST</t>
  </si>
  <si>
    <t>CULL</t>
  </si>
  <si>
    <t>HOLD/RELEASED</t>
  </si>
  <si>
    <t>TOTAL</t>
  </si>
  <si>
    <r>
      <rPr>
        <vertAlign val="superscript"/>
        <sz val="10"/>
        <color theme="1"/>
        <rFont val="Times New Roman"/>
        <family val="1"/>
      </rPr>
      <t>1</t>
    </r>
    <r>
      <rPr>
        <sz val="10"/>
        <color theme="1"/>
        <rFont val="Times New Roman"/>
        <family val="1"/>
      </rPr>
      <t xml:space="preserve"> - Wounded animals shot within Yellowstone by YNP personnel </t>
    </r>
  </si>
  <si>
    <r>
      <rPr>
        <vertAlign val="superscript"/>
        <sz val="10"/>
        <color theme="1"/>
        <rFont val="Times New Roman"/>
        <family val="1"/>
      </rPr>
      <t>2</t>
    </r>
    <r>
      <rPr>
        <sz val="10"/>
        <color theme="1"/>
        <rFont val="Times New Roman"/>
        <family val="1"/>
      </rPr>
      <t xml:space="preserve"> - Wounding loss reported by MTFWP</t>
    </r>
  </si>
  <si>
    <t>Agency/Tribe</t>
  </si>
  <si>
    <t>NORTH TOTAL</t>
  </si>
  <si>
    <t>WEST TOTAL</t>
  </si>
  <si>
    <t>Hunt Seas</t>
  </si>
  <si>
    <t>Numbers updated from harvest table below including all days in yellow</t>
  </si>
  <si>
    <t>State of Montana</t>
  </si>
  <si>
    <t>CSKT</t>
  </si>
  <si>
    <t>NPT</t>
  </si>
  <si>
    <t>CTUIR</t>
  </si>
  <si>
    <t>SB</t>
  </si>
  <si>
    <t>YN</t>
  </si>
  <si>
    <t>BN</t>
  </si>
  <si>
    <t>NARAP</t>
  </si>
  <si>
    <t>CROW</t>
  </si>
  <si>
    <t>NPS (shot/died in park)</t>
  </si>
  <si>
    <t>MTFWP (shot/donated/seized)</t>
  </si>
  <si>
    <t>MTFWP (wounding loss)</t>
  </si>
  <si>
    <t>Unreported Harvests</t>
  </si>
  <si>
    <t>updated:</t>
  </si>
  <si>
    <t>Total in Table above:</t>
  </si>
  <si>
    <t>Total in Harvest summary below:</t>
  </si>
  <si>
    <t>Harvest Summary Table:</t>
  </si>
  <si>
    <t>**Note: This info comes primarily through a group communication text. This total is slightly less than the above MTFWP totals**</t>
  </si>
  <si>
    <t>HUNT BREAKDOWN BY ENTITY</t>
  </si>
  <si>
    <t>HUNT LOCATION</t>
  </si>
  <si>
    <t>Between Landslide and Reece</t>
  </si>
  <si>
    <t>Out of park maximum count</t>
  </si>
  <si>
    <t>Huntable</t>
  </si>
  <si>
    <t>Harvests</t>
  </si>
  <si>
    <t xml:space="preserve">STATE </t>
  </si>
  <si>
    <t>UNK</t>
  </si>
  <si>
    <t>NPS shot or died in park</t>
  </si>
  <si>
    <t>BEATTIE</t>
  </si>
  <si>
    <t>EAGLE SMA</t>
  </si>
  <si>
    <t>CORWIN</t>
  </si>
  <si>
    <t>CUTLER</t>
  </si>
  <si>
    <t>Captured</t>
  </si>
  <si>
    <t>Notes</t>
  </si>
  <si>
    <t>Harvests 2 bulls, 3 cows, 1 calf Blackfeet/Northern Arapaho</t>
  </si>
  <si>
    <t>**Pulls from Harvest Log</t>
  </si>
  <si>
    <r>
      <t xml:space="preserve">Mammoth to Gardiner </t>
    </r>
    <r>
      <rPr>
        <sz val="8"/>
        <color theme="1"/>
        <rFont val="Times New Roman"/>
        <family val="1"/>
      </rPr>
      <t>*Includes Slide Lake, Mcminn, China Gardens</t>
    </r>
  </si>
  <si>
    <r>
      <t xml:space="preserve">North Entrance Station to Stephens Creek Facility                              </t>
    </r>
    <r>
      <rPr>
        <sz val="8"/>
        <color theme="1"/>
        <rFont val="Times New Roman"/>
        <family val="1"/>
      </rPr>
      <t>*Includes Shooting Range Flats</t>
    </r>
  </si>
  <si>
    <t>Stephens Creek Facility to Park Boundary</t>
  </si>
  <si>
    <t>Harvests to Date</t>
  </si>
  <si>
    <t>New Harvests</t>
  </si>
  <si>
    <t>Trapped to Date</t>
  </si>
  <si>
    <t>New Trapped</t>
  </si>
  <si>
    <t>YELL-251, YELL-268, YELL-394</t>
  </si>
  <si>
    <t>YELL-388, YELL-394, YELL-268</t>
  </si>
  <si>
    <t>YELL-268</t>
  </si>
  <si>
    <r>
      <rPr>
        <b/>
        <sz val="9"/>
        <color theme="1"/>
        <rFont val="Times New Roman"/>
        <family val="1"/>
      </rPr>
      <t>Table 4.</t>
    </r>
    <r>
      <rPr>
        <sz val="9"/>
        <color theme="1"/>
        <rFont val="Times New Roman"/>
        <family val="1"/>
      </rPr>
      <t xml:space="preserve"> Bison Season Chronology of events</t>
    </r>
  </si>
  <si>
    <t>Capture</t>
  </si>
  <si>
    <t>No. of Adults (brown)</t>
  </si>
  <si>
    <t>No. of Newborn</t>
  </si>
  <si>
    <t>Start</t>
  </si>
  <si>
    <t>Stop</t>
  </si>
  <si>
    <t>Marked Animals</t>
  </si>
  <si>
    <t>Personnel</t>
  </si>
  <si>
    <t>2 collared cows released without testing</t>
  </si>
  <si>
    <t>Adult Male</t>
  </si>
  <si>
    <t>Yearling Male</t>
  </si>
  <si>
    <t>Adult Female</t>
  </si>
  <si>
    <t>Yearling Female</t>
  </si>
  <si>
    <t>Unknown</t>
  </si>
  <si>
    <t>Event</t>
  </si>
  <si>
    <t>Slaughterhouse</t>
  </si>
  <si>
    <t>Consign</t>
  </si>
  <si>
    <t>Tizers</t>
  </si>
  <si>
    <t>Release</t>
  </si>
  <si>
    <t>Mortality</t>
  </si>
  <si>
    <t>Broken leg during sorting/testing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</si>
</sst>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0"/>
      <color theme="1"/>
      <name val="Times New Roman"/>
      <family val="1"/>
    </font>
    <font>
      <b/>
      <sz val="10"/>
      <color theme="1"/>
      <name val="Times New Roman"/>
      <family val="1"/>
    </font>
    <font>
      <sz val="11"/>
      <color theme="1"/>
      <name val="Times New Roman"/>
      <family val="1"/>
    </font>
    <font>
      <sz val="10"/>
      <name val="Times New Roman"/>
      <family val="1"/>
    </font>
    <font>
      <b/>
      <sz val="11"/>
      <color theme="1"/>
      <name val="Calibri"/>
      <family val="2"/>
      <scheme val="minor"/>
    </font>
    <font>
      <vertAlign val="superscript"/>
      <sz val="10"/>
      <color theme="1"/>
      <name val="Times New Roman"/>
      <family val="1"/>
    </font>
    <font>
      <sz val="10"/>
      <color theme="1"/>
      <name val="Calibri"/>
      <family val="2"/>
      <scheme val="minor"/>
    </font>
    <font>
      <sz val="8"/>
      <color theme="1"/>
      <name val="Times New Roman"/>
      <family val="1"/>
    </font>
    <font>
      <b/>
      <sz val="10"/>
      <color rgb="FF000000"/>
      <name val="Times New Roman"/>
      <family val="1"/>
    </font>
    <font>
      <sz val="10"/>
      <color rgb="FF000000"/>
      <name val="Times New Roman"/>
      <family val="1"/>
    </font>
    <font>
      <sz val="9"/>
      <color theme="1"/>
      <name val="Times New Roman"/>
      <family val="1"/>
    </font>
    <font>
      <vertAlign val="superscript"/>
      <sz val="8"/>
      <color theme="1"/>
      <name val="Times New Roman"/>
      <family val="1"/>
    </font>
    <font>
      <b/>
      <sz val="9"/>
      <color theme="1"/>
      <name val="Times New Roman"/>
      <family val="1"/>
    </font>
    <font>
      <sz val="9"/>
      <color rgb="FF000000"/>
      <name val="Times New Roman"/>
      <family val="1"/>
    </font>
    <font>
      <b/>
      <sz val="8"/>
      <color rgb="FF000000"/>
      <name val="Times New Roman"/>
      <family val="1"/>
    </font>
    <font>
      <sz val="8"/>
      <color rgb="FF000000"/>
      <name val="Times New Roman"/>
      <family val="1"/>
    </font>
    <font>
      <vertAlign val="superscript"/>
      <sz val="8"/>
      <color rgb="FF000000"/>
      <name val="Times New Roman"/>
      <family val="1"/>
    </font>
    <font>
      <b/>
      <sz val="9"/>
      <color theme="1"/>
      <name val="Calibri"/>
      <family val="2"/>
      <scheme val="minor"/>
    </font>
    <font>
      <b/>
      <sz val="8"/>
      <color theme="1"/>
      <name val="Times New Roman"/>
      <family val="1"/>
    </font>
    <font>
      <b/>
      <sz val="10"/>
      <color rgb="FFFF0000"/>
      <name val="Times New Roman"/>
      <family val="1"/>
    </font>
    <font>
      <b/>
      <u/>
      <sz val="11"/>
      <color theme="1"/>
      <name val="Calibri"/>
      <family val="2"/>
      <scheme val="minor"/>
    </font>
    <font>
      <sz val="8"/>
      <name val="Calibri"/>
      <family val="2"/>
      <scheme val="minor"/>
    </font>
    <font>
      <sz val="10"/>
      <color rgb="FFFF0000"/>
      <name val="Times New Roman"/>
      <family val="1"/>
    </font>
    <font>
      <sz val="11"/>
      <name val="Calibri"/>
      <family val="2"/>
      <scheme val="minor"/>
    </font>
    <font>
      <b/>
      <sz val="8"/>
      <name val="Times New Roman"/>
      <family val="1"/>
    </font>
    <font>
      <b/>
      <sz val="11"/>
      <color theme="1"/>
      <name val="Times New Roman"/>
      <family val="1"/>
    </font>
    <font>
      <sz val="11"/>
      <color rgb="FF444444"/>
      <name val="Calibri"/>
      <family val="2"/>
    </font>
  </fonts>
  <fills count="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FFFF00"/>
        <bgColor indexed="64"/>
      </patternFill>
    </fill>
  </fills>
  <borders count="7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medium">
        <color indexed="64"/>
      </bottom>
      <diagonal/>
    </border>
    <border>
      <left style="thin">
        <color auto="1"/>
      </left>
      <right style="thin">
        <color auto="1"/>
      </right>
      <top style="thin">
        <color auto="1"/>
      </top>
      <bottom/>
      <diagonal/>
    </border>
    <border>
      <left style="thin">
        <color indexed="64"/>
      </left>
      <right/>
      <top/>
      <bottom/>
      <diagonal/>
    </border>
    <border>
      <left/>
      <right/>
      <top style="thin">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diagonal/>
    </border>
    <border>
      <left/>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style="medium">
        <color indexed="64"/>
      </right>
      <top style="thin">
        <color auto="1"/>
      </top>
      <bottom/>
      <diagonal/>
    </border>
    <border>
      <left style="thin">
        <color auto="1"/>
      </left>
      <right/>
      <top style="medium">
        <color indexed="64"/>
      </top>
      <bottom style="medium">
        <color indexed="64"/>
      </bottom>
      <diagonal/>
    </border>
    <border>
      <left style="medium">
        <color indexed="64"/>
      </left>
      <right/>
      <top style="thin">
        <color auto="1"/>
      </top>
      <bottom style="medium">
        <color indexed="64"/>
      </bottom>
      <diagonal/>
    </border>
    <border>
      <left/>
      <right style="thin">
        <color indexed="64"/>
      </right>
      <top style="thin">
        <color indexed="64"/>
      </top>
      <bottom style="thin">
        <color indexed="64"/>
      </bottom>
      <diagonal/>
    </border>
    <border>
      <left/>
      <right style="thin">
        <color auto="1"/>
      </right>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auto="1"/>
      </bottom>
      <diagonal/>
    </border>
    <border>
      <left/>
      <right style="medium">
        <color rgb="FF000000"/>
      </right>
      <top style="medium">
        <color indexed="64"/>
      </top>
      <bottom/>
      <diagonal/>
    </border>
    <border>
      <left/>
      <right style="medium">
        <color rgb="FF000000"/>
      </right>
      <top/>
      <bottom/>
      <diagonal/>
    </border>
    <border>
      <left/>
      <right style="medium">
        <color rgb="FF000000"/>
      </right>
      <top/>
      <bottom style="medium">
        <color indexed="64"/>
      </bottom>
      <diagonal/>
    </border>
    <border>
      <left style="medium">
        <color indexed="64"/>
      </left>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rgb="FF000000"/>
      </left>
      <right/>
      <top style="medium">
        <color indexed="64"/>
      </top>
      <bottom/>
      <diagonal/>
    </border>
    <border>
      <left style="medium">
        <color rgb="FF000000"/>
      </left>
      <right/>
      <top/>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auto="1"/>
      </right>
      <top style="thin">
        <color auto="1"/>
      </top>
      <bottom/>
      <diagonal/>
    </border>
    <border>
      <left/>
      <right style="thin">
        <color auto="1"/>
      </right>
      <top/>
      <bottom style="medium">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style="medium">
        <color rgb="FF000000"/>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auto="1"/>
      </right>
      <top style="thin">
        <color auto="1"/>
      </top>
      <bottom/>
      <diagonal/>
    </border>
    <border>
      <left style="thin">
        <color indexed="64"/>
      </left>
      <right style="thin">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auto="1"/>
      </right>
      <top style="medium">
        <color indexed="64"/>
      </top>
      <bottom/>
      <diagonal/>
    </border>
    <border>
      <left style="thin">
        <color indexed="64"/>
      </left>
      <right/>
      <top style="thin">
        <color indexed="64"/>
      </top>
      <bottom style="thin">
        <color indexed="64"/>
      </bottom>
      <diagonal/>
    </border>
  </borders>
  <cellStyleXfs count="1">
    <xf numFmtId="0" fontId="0" fillId="0" borderId="0"/>
  </cellStyleXfs>
  <cellXfs count="455">
    <xf numFmtId="0" fontId="0" fillId="0" borderId="0" xfId="0"/>
    <xf numFmtId="14" fontId="0" fillId="2" borderId="0" xfId="0" applyNumberFormat="1" applyFill="1" applyBorder="1" applyAlignment="1">
      <alignment horizontal="center" vertical="center"/>
    </xf>
    <xf numFmtId="0" fontId="0" fillId="2" borderId="0" xfId="0" applyFill="1" applyBorder="1" applyAlignment="1">
      <alignment horizontal="center" vertical="center"/>
    </xf>
    <xf numFmtId="0" fontId="0" fillId="2" borderId="0" xfId="0" applyFill="1" applyAlignment="1">
      <alignment horizontal="center" vertical="center"/>
    </xf>
    <xf numFmtId="14" fontId="0" fillId="2" borderId="0" xfId="0" applyNumberFormat="1" applyFill="1" applyAlignment="1">
      <alignment horizontal="center" vertical="center"/>
    </xf>
    <xf numFmtId="0" fontId="1" fillId="2" borderId="7" xfId="0" applyFont="1" applyFill="1" applyBorder="1" applyAlignment="1">
      <alignment horizontal="center" vertical="center" wrapText="1"/>
    </xf>
    <xf numFmtId="0" fontId="1" fillId="3" borderId="5" xfId="0" applyFont="1" applyFill="1" applyBorder="1" applyAlignment="1">
      <alignment horizontal="center" vertical="center"/>
    </xf>
    <xf numFmtId="0" fontId="1" fillId="3" borderId="8" xfId="0" applyFont="1" applyFill="1" applyBorder="1" applyAlignment="1">
      <alignment horizontal="center" vertical="center" wrapText="1"/>
    </xf>
    <xf numFmtId="0" fontId="1" fillId="2" borderId="0" xfId="0" applyFont="1" applyFill="1"/>
    <xf numFmtId="0" fontId="1" fillId="2" borderId="2" xfId="0" applyFont="1" applyFill="1" applyBorder="1" applyAlignment="1">
      <alignment horizontal="center"/>
    </xf>
    <xf numFmtId="0" fontId="1" fillId="2" borderId="1" xfId="0" applyFont="1" applyFill="1" applyBorder="1" applyAlignment="1">
      <alignment horizontal="center"/>
    </xf>
    <xf numFmtId="0" fontId="1" fillId="2" borderId="12" xfId="0" applyFont="1" applyFill="1" applyBorder="1" applyAlignment="1">
      <alignment horizontal="center" vertical="center" wrapText="1"/>
    </xf>
    <xf numFmtId="0" fontId="1" fillId="2" borderId="0" xfId="0" applyFont="1" applyFill="1" applyBorder="1" applyAlignment="1">
      <alignment horizontal="left" vertical="center"/>
    </xf>
    <xf numFmtId="14" fontId="1" fillId="2" borderId="16" xfId="0" applyNumberFormat="1" applyFont="1" applyFill="1" applyBorder="1" applyAlignment="1">
      <alignment horizontal="center" vertical="center"/>
    </xf>
    <xf numFmtId="14" fontId="2" fillId="2" borderId="17" xfId="0" applyNumberFormat="1" applyFont="1" applyFill="1" applyBorder="1" applyAlignment="1">
      <alignment horizontal="center" vertical="center"/>
    </xf>
    <xf numFmtId="0" fontId="3" fillId="2" borderId="0" xfId="0" applyFont="1" applyFill="1" applyBorder="1" applyAlignment="1">
      <alignment horizontal="center" vertical="center"/>
    </xf>
    <xf numFmtId="0" fontId="2" fillId="2" borderId="6" xfId="0" applyFont="1" applyFill="1" applyBorder="1"/>
    <xf numFmtId="14" fontId="1" fillId="2" borderId="18" xfId="0" applyNumberFormat="1" applyFont="1" applyFill="1" applyBorder="1"/>
    <xf numFmtId="0" fontId="1" fillId="2" borderId="18" xfId="0" applyFont="1" applyFill="1" applyBorder="1"/>
    <xf numFmtId="14" fontId="1" fillId="2" borderId="10" xfId="0" applyNumberFormat="1" applyFont="1" applyFill="1" applyBorder="1"/>
    <xf numFmtId="0" fontId="1" fillId="2" borderId="10" xfId="0" applyFont="1" applyFill="1" applyBorder="1"/>
    <xf numFmtId="0" fontId="1" fillId="2" borderId="7" xfId="0" applyFont="1" applyFill="1" applyBorder="1"/>
    <xf numFmtId="14" fontId="1" fillId="2" borderId="0" xfId="0" applyNumberFormat="1" applyFont="1" applyFill="1" applyBorder="1"/>
    <xf numFmtId="0" fontId="1" fillId="2" borderId="0" xfId="0" applyFont="1" applyFill="1" applyBorder="1"/>
    <xf numFmtId="0" fontId="0" fillId="2" borderId="0" xfId="0" applyFill="1" applyBorder="1" applyAlignment="1">
      <alignment horizontal="left" vertical="center"/>
    </xf>
    <xf numFmtId="49" fontId="2" fillId="2" borderId="16" xfId="0" applyNumberFormat="1" applyFont="1" applyFill="1" applyBorder="1" applyAlignment="1">
      <alignment horizontal="center" vertical="center"/>
    </xf>
    <xf numFmtId="49" fontId="2" fillId="2" borderId="14" xfId="0" applyNumberFormat="1" applyFont="1" applyFill="1" applyBorder="1" applyAlignment="1">
      <alignment horizontal="center" vertical="center"/>
    </xf>
    <xf numFmtId="0" fontId="0" fillId="0" borderId="1" xfId="0" applyBorder="1"/>
    <xf numFmtId="14" fontId="0" fillId="0" borderId="1" xfId="0" applyNumberFormat="1" applyBorder="1"/>
    <xf numFmtId="0" fontId="1" fillId="4" borderId="0" xfId="0" applyFont="1" applyFill="1" applyBorder="1" applyAlignment="1">
      <alignment horizontal="center" vertical="top"/>
    </xf>
    <xf numFmtId="0" fontId="1" fillId="2" borderId="0" xfId="0" applyFont="1" applyFill="1" applyBorder="1" applyAlignment="1">
      <alignment horizontal="center" vertical="top"/>
    </xf>
    <xf numFmtId="0" fontId="1" fillId="4" borderId="11" xfId="0" applyFont="1" applyFill="1" applyBorder="1" applyAlignment="1">
      <alignment horizontal="center" vertical="top"/>
    </xf>
    <xf numFmtId="0" fontId="1" fillId="2" borderId="11" xfId="0" applyFont="1" applyFill="1" applyBorder="1" applyAlignment="1">
      <alignment horizontal="center" vertical="top"/>
    </xf>
    <xf numFmtId="0" fontId="1" fillId="2" borderId="0" xfId="0" applyFont="1" applyFill="1" applyBorder="1" applyAlignment="1">
      <alignment horizontal="center" vertical="center"/>
    </xf>
    <xf numFmtId="14" fontId="1" fillId="2" borderId="16" xfId="0" applyNumberFormat="1" applyFont="1" applyFill="1" applyBorder="1" applyAlignment="1">
      <alignment horizontal="center" vertical="top"/>
    </xf>
    <xf numFmtId="0" fontId="1" fillId="3" borderId="5"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7" fillId="2" borderId="0" xfId="0" applyFont="1" applyFill="1" applyBorder="1" applyAlignment="1">
      <alignment horizontal="left" vertical="center"/>
    </xf>
    <xf numFmtId="14" fontId="1" fillId="2" borderId="30" xfId="0" applyNumberFormat="1" applyFont="1" applyFill="1" applyBorder="1" applyAlignment="1">
      <alignment horizontal="center" vertical="center"/>
    </xf>
    <xf numFmtId="0" fontId="1" fillId="3" borderId="33"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34" xfId="0" applyFont="1" applyFill="1" applyBorder="1" applyAlignment="1">
      <alignment horizontal="center" vertical="center"/>
    </xf>
    <xf numFmtId="0" fontId="1" fillId="4" borderId="10" xfId="0" applyFont="1" applyFill="1" applyBorder="1" applyAlignment="1">
      <alignment horizontal="center" vertical="top"/>
    </xf>
    <xf numFmtId="0" fontId="1" fillId="4" borderId="13" xfId="0" applyFont="1" applyFill="1" applyBorder="1" applyAlignment="1">
      <alignment horizontal="center" vertical="top"/>
    </xf>
    <xf numFmtId="49" fontId="2" fillId="2" borderId="15" xfId="0" applyNumberFormat="1" applyFont="1" applyFill="1" applyBorder="1" applyAlignment="1">
      <alignment horizontal="center" vertical="center"/>
    </xf>
    <xf numFmtId="0" fontId="2" fillId="2" borderId="0" xfId="0" applyFont="1" applyFill="1" applyAlignment="1">
      <alignment vertical="center"/>
    </xf>
    <xf numFmtId="0" fontId="2" fillId="2" borderId="36"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1" fillId="4" borderId="15" xfId="0" applyFont="1" applyFill="1" applyBorder="1" applyAlignment="1">
      <alignment horizontal="center" vertical="top"/>
    </xf>
    <xf numFmtId="0" fontId="1" fillId="4" borderId="16" xfId="0" applyFont="1" applyFill="1" applyBorder="1" applyAlignment="1">
      <alignment horizontal="center" vertical="top"/>
    </xf>
    <xf numFmtId="0" fontId="0" fillId="2" borderId="0" xfId="0" applyFont="1" applyFill="1" applyAlignment="1">
      <alignment vertical="center"/>
    </xf>
    <xf numFmtId="0" fontId="0" fillId="2" borderId="0" xfId="0" applyFont="1" applyFill="1" applyBorder="1" applyAlignment="1">
      <alignment vertical="center"/>
    </xf>
    <xf numFmtId="0" fontId="1" fillId="2" borderId="0" xfId="0" applyFont="1" applyFill="1" applyBorder="1" applyAlignment="1">
      <alignment vertical="center"/>
    </xf>
    <xf numFmtId="0" fontId="2" fillId="2" borderId="18" xfId="0" applyFont="1" applyFill="1" applyBorder="1" applyAlignment="1">
      <alignment horizontal="center" vertical="center"/>
    </xf>
    <xf numFmtId="0" fontId="19" fillId="2" borderId="16" xfId="0" applyFont="1" applyFill="1" applyBorder="1" applyAlignment="1">
      <alignment horizontal="center" vertical="center"/>
    </xf>
    <xf numFmtId="0" fontId="8" fillId="2" borderId="14"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0" fillId="0" borderId="0" xfId="0" applyFont="1" applyFill="1" applyBorder="1" applyAlignment="1">
      <alignment vertical="center"/>
    </xf>
    <xf numFmtId="0" fontId="0" fillId="0" borderId="0" xfId="0" applyFill="1"/>
    <xf numFmtId="0" fontId="0" fillId="0" borderId="0" xfId="0" applyFont="1" applyFill="1" applyAlignment="1">
      <alignment vertical="center"/>
    </xf>
    <xf numFmtId="0" fontId="21" fillId="2" borderId="0" xfId="0" applyFont="1" applyFill="1" applyBorder="1" applyAlignment="1">
      <alignment vertical="center"/>
    </xf>
    <xf numFmtId="0" fontId="2" fillId="6" borderId="35" xfId="0" applyFont="1" applyFill="1" applyBorder="1" applyAlignment="1">
      <alignment horizontal="center" vertical="center" wrapText="1"/>
    </xf>
    <xf numFmtId="0" fontId="2" fillId="6" borderId="36" xfId="0" applyFont="1" applyFill="1" applyBorder="1" applyAlignment="1">
      <alignment horizontal="center" vertical="center" wrapText="1"/>
    </xf>
    <xf numFmtId="0" fontId="1" fillId="6" borderId="1" xfId="0" applyFont="1" applyFill="1" applyBorder="1" applyAlignment="1">
      <alignment horizontal="center"/>
    </xf>
    <xf numFmtId="0" fontId="1" fillId="6" borderId="1" xfId="0" applyNumberFormat="1" applyFont="1" applyFill="1" applyBorder="1" applyAlignment="1">
      <alignment horizontal="center"/>
    </xf>
    <xf numFmtId="0" fontId="2" fillId="6" borderId="37" xfId="0" applyFont="1" applyFill="1" applyBorder="1" applyAlignment="1">
      <alignment horizontal="center" vertical="center" wrapText="1"/>
    </xf>
    <xf numFmtId="14" fontId="1" fillId="6" borderId="52" xfId="0" applyNumberFormat="1" applyFont="1" applyFill="1" applyBorder="1" applyAlignment="1">
      <alignment horizontal="center"/>
    </xf>
    <xf numFmtId="0" fontId="1" fillId="6" borderId="56" xfId="0" applyFont="1" applyFill="1" applyBorder="1" applyAlignment="1">
      <alignment horizontal="center"/>
    </xf>
    <xf numFmtId="14" fontId="1" fillId="6" borderId="53" xfId="0" applyNumberFormat="1" applyFont="1" applyFill="1" applyBorder="1" applyAlignment="1">
      <alignment horizontal="center"/>
    </xf>
    <xf numFmtId="0" fontId="1" fillId="6" borderId="3" xfId="0" applyFont="1" applyFill="1" applyBorder="1" applyAlignment="1">
      <alignment horizontal="center"/>
    </xf>
    <xf numFmtId="0" fontId="1" fillId="6" borderId="57" xfId="0" applyFont="1" applyFill="1" applyBorder="1" applyAlignment="1">
      <alignment horizontal="center"/>
    </xf>
    <xf numFmtId="0" fontId="2" fillId="2" borderId="20" xfId="0" applyFont="1" applyFill="1" applyBorder="1" applyAlignment="1">
      <alignment horizontal="center" vertical="center" wrapText="1"/>
    </xf>
    <xf numFmtId="0" fontId="1" fillId="2" borderId="31" xfId="0" applyFont="1" applyFill="1" applyBorder="1" applyAlignment="1">
      <alignment horizontal="center"/>
    </xf>
    <xf numFmtId="0" fontId="2" fillId="3" borderId="38" xfId="0" applyFont="1" applyFill="1" applyBorder="1" applyAlignment="1">
      <alignment horizontal="center" vertical="center"/>
    </xf>
    <xf numFmtId="0" fontId="2" fillId="3" borderId="51" xfId="0" applyFont="1" applyFill="1" applyBorder="1" applyAlignment="1">
      <alignment horizontal="center"/>
    </xf>
    <xf numFmtId="0" fontId="2" fillId="3" borderId="50" xfId="0" applyFont="1" applyFill="1" applyBorder="1" applyAlignment="1">
      <alignment horizontal="center"/>
    </xf>
    <xf numFmtId="0" fontId="1" fillId="2" borderId="0" xfId="0" applyFont="1" applyFill="1" applyProtection="1"/>
    <xf numFmtId="0" fontId="1" fillId="0" borderId="0" xfId="0" applyFont="1" applyProtection="1"/>
    <xf numFmtId="0" fontId="13" fillId="2" borderId="0" xfId="0" applyFont="1" applyFill="1" applyAlignment="1" applyProtection="1">
      <alignment vertical="center" wrapText="1"/>
    </xf>
    <xf numFmtId="0" fontId="13" fillId="2" borderId="0" xfId="0" applyFont="1" applyFill="1" applyAlignment="1" applyProtection="1">
      <alignment vertical="center"/>
    </xf>
    <xf numFmtId="0" fontId="11" fillId="3" borderId="7" xfId="0" applyFont="1" applyFill="1" applyBorder="1" applyAlignment="1" applyProtection="1">
      <alignment horizontal="center" vertical="center" wrapText="1"/>
    </xf>
    <xf numFmtId="0" fontId="11" fillId="2" borderId="7" xfId="0" applyFont="1" applyFill="1" applyBorder="1" applyAlignment="1" applyProtection="1">
      <alignment horizontal="center" vertical="center" wrapText="1"/>
    </xf>
    <xf numFmtId="0" fontId="11" fillId="3" borderId="8" xfId="0" applyFont="1" applyFill="1" applyBorder="1" applyAlignment="1" applyProtection="1">
      <alignment horizontal="center" vertical="center" wrapText="1"/>
    </xf>
    <xf numFmtId="0" fontId="11" fillId="2" borderId="12" xfId="0" applyFont="1" applyFill="1" applyBorder="1" applyAlignment="1" applyProtection="1">
      <alignment horizontal="center" vertical="center" wrapText="1"/>
    </xf>
    <xf numFmtId="0" fontId="11" fillId="3" borderId="5" xfId="0" applyFont="1" applyFill="1" applyBorder="1" applyAlignment="1" applyProtection="1">
      <alignment horizontal="center" vertical="center" wrapText="1"/>
    </xf>
    <xf numFmtId="0" fontId="11" fillId="2" borderId="0" xfId="0" applyFont="1" applyFill="1" applyBorder="1" applyAlignment="1" applyProtection="1">
      <alignment horizontal="center" vertical="center" wrapText="1"/>
    </xf>
    <xf numFmtId="0" fontId="11" fillId="2" borderId="11" xfId="0" applyFont="1" applyFill="1" applyBorder="1" applyAlignment="1" applyProtection="1">
      <alignment horizontal="center" vertical="center" wrapText="1"/>
    </xf>
    <xf numFmtId="0" fontId="10" fillId="5" borderId="7" xfId="0" applyFont="1" applyFill="1" applyBorder="1" applyAlignment="1" applyProtection="1">
      <alignment horizontal="center" vertical="center" wrapText="1"/>
    </xf>
    <xf numFmtId="0" fontId="10" fillId="5" borderId="14" xfId="0" applyFont="1" applyFill="1" applyBorder="1" applyAlignment="1" applyProtection="1">
      <alignment horizontal="center" vertical="center" wrapText="1"/>
    </xf>
    <xf numFmtId="0" fontId="10" fillId="5" borderId="12" xfId="0" applyFont="1" applyFill="1" applyBorder="1" applyAlignment="1" applyProtection="1">
      <alignment horizontal="center" vertical="center" wrapText="1"/>
    </xf>
    <xf numFmtId="0" fontId="11" fillId="3" borderId="5" xfId="0" applyFont="1" applyFill="1" applyBorder="1" applyAlignment="1" applyProtection="1">
      <alignment horizontal="center" vertical="center"/>
    </xf>
    <xf numFmtId="0" fontId="11" fillId="2" borderId="0" xfId="0" applyFont="1" applyFill="1" applyBorder="1" applyAlignment="1" applyProtection="1">
      <alignment horizontal="center" vertical="center"/>
    </xf>
    <xf numFmtId="0" fontId="11" fillId="2" borderId="11" xfId="0" applyFont="1" applyFill="1" applyBorder="1" applyAlignment="1" applyProtection="1">
      <alignment horizontal="center" vertical="center"/>
    </xf>
    <xf numFmtId="0" fontId="8" fillId="2" borderId="0" xfId="0" applyFont="1" applyFill="1" applyProtection="1"/>
    <xf numFmtId="0" fontId="8" fillId="0" borderId="0" xfId="0" applyFont="1" applyProtection="1"/>
    <xf numFmtId="0" fontId="2" fillId="2" borderId="0" xfId="0" applyFont="1" applyFill="1" applyProtection="1"/>
    <xf numFmtId="0" fontId="1" fillId="2" borderId="0" xfId="0" applyFont="1" applyFill="1" applyBorder="1" applyProtection="1"/>
    <xf numFmtId="0" fontId="12" fillId="2" borderId="0" xfId="0" applyFont="1" applyFill="1" applyAlignment="1" applyProtection="1">
      <alignment vertical="center"/>
      <protection locked="0"/>
    </xf>
    <xf numFmtId="0" fontId="8" fillId="2" borderId="0" xfId="0" applyFont="1" applyFill="1" applyProtection="1">
      <protection locked="0"/>
    </xf>
    <xf numFmtId="0" fontId="1" fillId="2" borderId="10" xfId="0" applyFont="1" applyFill="1" applyBorder="1" applyAlignment="1">
      <alignment horizontal="center" vertical="top"/>
    </xf>
    <xf numFmtId="0" fontId="1" fillId="2" borderId="13" xfId="0" applyFont="1" applyFill="1" applyBorder="1" applyAlignment="1">
      <alignment horizontal="center" vertical="top"/>
    </xf>
    <xf numFmtId="0" fontId="1" fillId="2" borderId="7" xfId="0" applyFont="1" applyFill="1" applyBorder="1" applyAlignment="1">
      <alignment horizontal="center" vertical="top"/>
    </xf>
    <xf numFmtId="0" fontId="1" fillId="2" borderId="12" xfId="0" applyFont="1" applyFill="1" applyBorder="1" applyAlignment="1">
      <alignment horizontal="center" vertical="top"/>
    </xf>
    <xf numFmtId="0" fontId="1" fillId="4" borderId="18" xfId="0" applyFont="1" applyFill="1" applyBorder="1" applyAlignment="1">
      <alignment horizontal="center" vertical="top"/>
    </xf>
    <xf numFmtId="0" fontId="1" fillId="2" borderId="18" xfId="0" applyFont="1" applyFill="1" applyBorder="1" applyAlignment="1">
      <alignment horizontal="center" vertical="top"/>
    </xf>
    <xf numFmtId="0" fontId="1" fillId="2" borderId="19" xfId="0" applyFont="1" applyFill="1" applyBorder="1" applyAlignment="1">
      <alignment horizontal="center" vertical="top"/>
    </xf>
    <xf numFmtId="0" fontId="1" fillId="2" borderId="17" xfId="0" applyFont="1" applyFill="1" applyBorder="1" applyAlignment="1">
      <alignment horizontal="center" vertical="top"/>
    </xf>
    <xf numFmtId="49" fontId="1" fillId="4" borderId="44" xfId="0" applyNumberFormat="1" applyFont="1" applyFill="1" applyBorder="1" applyAlignment="1">
      <alignment horizontal="left" vertical="center"/>
    </xf>
    <xf numFmtId="49" fontId="1" fillId="4" borderId="45" xfId="0" applyNumberFormat="1" applyFont="1" applyFill="1" applyBorder="1" applyAlignment="1">
      <alignment horizontal="left" vertical="center"/>
    </xf>
    <xf numFmtId="49" fontId="2" fillId="2" borderId="38" xfId="0" applyNumberFormat="1" applyFont="1" applyFill="1" applyBorder="1" applyAlignment="1">
      <alignment horizontal="left" vertical="center"/>
    </xf>
    <xf numFmtId="49" fontId="2" fillId="2" borderId="45" xfId="0" applyNumberFormat="1" applyFont="1" applyFill="1" applyBorder="1" applyAlignment="1">
      <alignment horizontal="left" vertical="top"/>
    </xf>
    <xf numFmtId="0" fontId="2" fillId="0" borderId="50" xfId="0" applyFont="1" applyBorder="1" applyAlignment="1">
      <alignment horizontal="right" vertical="top"/>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top"/>
    </xf>
    <xf numFmtId="0" fontId="1" fillId="2" borderId="16" xfId="0" applyFont="1" applyFill="1" applyBorder="1" applyAlignment="1">
      <alignment horizontal="center" vertical="top"/>
    </xf>
    <xf numFmtId="0" fontId="1" fillId="2" borderId="14" xfId="0" applyFont="1" applyFill="1" applyBorder="1" applyAlignment="1">
      <alignment horizontal="center" vertical="top"/>
    </xf>
    <xf numFmtId="0" fontId="1" fillId="4" borderId="17" xfId="0" applyFont="1" applyFill="1" applyBorder="1" applyAlignment="1">
      <alignment horizontal="center" vertical="top"/>
    </xf>
    <xf numFmtId="0" fontId="19" fillId="2" borderId="0" xfId="0" applyFont="1" applyFill="1" applyBorder="1" applyAlignment="1">
      <alignment horizontal="left" vertical="center"/>
    </xf>
    <xf numFmtId="0" fontId="0" fillId="2" borderId="0" xfId="0" applyFill="1" applyAlignment="1">
      <alignment horizontal="left"/>
    </xf>
    <xf numFmtId="0" fontId="3" fillId="2" borderId="0" xfId="0" applyFont="1" applyFill="1" applyBorder="1" applyAlignment="1">
      <alignment horizontal="left" vertical="center"/>
    </xf>
    <xf numFmtId="0" fontId="0" fillId="2" borderId="0" xfId="0" applyFont="1" applyFill="1" applyBorder="1" applyAlignment="1">
      <alignment horizontal="left" vertical="center"/>
    </xf>
    <xf numFmtId="0" fontId="0" fillId="0" borderId="0" xfId="0" applyAlignment="1">
      <alignment horizontal="left"/>
    </xf>
    <xf numFmtId="0" fontId="1" fillId="2" borderId="0" xfId="0" applyFont="1" applyFill="1" applyAlignment="1">
      <alignment horizontal="right" vertical="center"/>
    </xf>
    <xf numFmtId="0" fontId="3" fillId="2" borderId="0" xfId="0" applyFont="1" applyFill="1" applyAlignment="1">
      <alignment horizontal="right" vertical="center"/>
    </xf>
    <xf numFmtId="0" fontId="3" fillId="2" borderId="0" xfId="0" applyFont="1" applyFill="1" applyAlignment="1">
      <alignment vertical="center"/>
    </xf>
    <xf numFmtId="14" fontId="11" fillId="2" borderId="10" xfId="0" applyNumberFormat="1" applyFont="1" applyFill="1" applyBorder="1" applyAlignment="1">
      <alignment vertical="center"/>
    </xf>
    <xf numFmtId="0" fontId="11" fillId="2" borderId="0" xfId="0" applyFont="1" applyFill="1" applyAlignment="1">
      <alignment horizontal="right" vertical="center"/>
    </xf>
    <xf numFmtId="0" fontId="1" fillId="8" borderId="0" xfId="0" applyFont="1" applyFill="1" applyBorder="1" applyAlignment="1">
      <alignment horizontal="left" vertical="center"/>
    </xf>
    <xf numFmtId="0" fontId="13" fillId="2" borderId="61" xfId="0" applyFont="1" applyFill="1" applyBorder="1" applyAlignment="1">
      <alignment horizontal="center" vertical="center" wrapText="1"/>
    </xf>
    <xf numFmtId="1" fontId="13" fillId="2" borderId="63" xfId="0" applyNumberFormat="1" applyFont="1" applyFill="1" applyBorder="1" applyAlignment="1">
      <alignment horizontal="center" vertical="center" wrapText="1"/>
    </xf>
    <xf numFmtId="0" fontId="7" fillId="0" borderId="63" xfId="0" applyFont="1" applyFill="1" applyBorder="1" applyAlignment="1">
      <alignment horizontal="left" wrapText="1"/>
    </xf>
    <xf numFmtId="0" fontId="7" fillId="0" borderId="63" xfId="0" applyFont="1" applyBorder="1" applyAlignment="1">
      <alignment wrapText="1"/>
    </xf>
    <xf numFmtId="0" fontId="18" fillId="2" borderId="63" xfId="0" applyFont="1" applyFill="1" applyBorder="1" applyAlignment="1">
      <alignment vertical="center" wrapText="1"/>
    </xf>
    <xf numFmtId="0" fontId="7" fillId="0" borderId="0" xfId="0" applyFont="1" applyAlignment="1">
      <alignment wrapText="1"/>
    </xf>
    <xf numFmtId="14" fontId="1" fillId="2" borderId="52"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0" borderId="1" xfId="0" applyBorder="1" applyAlignment="1">
      <alignment wrapText="1"/>
    </xf>
    <xf numFmtId="0" fontId="0" fillId="0" borderId="1" xfId="0" applyBorder="1" applyAlignment="1">
      <alignment horizontal="left" wrapText="1"/>
    </xf>
    <xf numFmtId="0" fontId="0" fillId="0" borderId="1" xfId="0" applyFont="1" applyFill="1" applyBorder="1" applyAlignment="1">
      <alignment vertical="center" wrapText="1"/>
    </xf>
    <xf numFmtId="0" fontId="0" fillId="0" borderId="1" xfId="0" applyFill="1" applyBorder="1" applyAlignment="1">
      <alignment wrapText="1"/>
    </xf>
    <xf numFmtId="0" fontId="19" fillId="2" borderId="1" xfId="0" applyFont="1" applyFill="1" applyBorder="1" applyAlignment="1">
      <alignment vertical="center" wrapText="1"/>
    </xf>
    <xf numFmtId="0" fontId="0" fillId="0" borderId="0" xfId="0" applyAlignment="1">
      <alignment wrapText="1"/>
    </xf>
    <xf numFmtId="0" fontId="8" fillId="2" borderId="1" xfId="0" applyFont="1" applyFill="1" applyBorder="1" applyAlignment="1">
      <alignment vertical="center" wrapText="1"/>
    </xf>
    <xf numFmtId="0" fontId="19" fillId="2" borderId="1" xfId="0" applyFont="1" applyFill="1" applyBorder="1" applyAlignment="1">
      <alignment horizontal="left" vertical="center" wrapText="1"/>
    </xf>
    <xf numFmtId="14" fontId="1" fillId="0" borderId="52" xfId="0" applyNumberFormat="1" applyFont="1" applyFill="1" applyBorder="1" applyAlignment="1">
      <alignment horizontal="center" vertical="center" wrapText="1"/>
    </xf>
    <xf numFmtId="1" fontId="1" fillId="0" borderId="1" xfId="0" applyNumberFormat="1" applyFont="1" applyFill="1" applyBorder="1" applyAlignment="1">
      <alignment horizontal="center" vertical="center" wrapText="1"/>
    </xf>
    <xf numFmtId="0" fontId="0" fillId="0" borderId="1" xfId="0" applyFill="1" applyBorder="1" applyAlignment="1">
      <alignment horizontal="left" wrapText="1"/>
    </xf>
    <xf numFmtId="0" fontId="19" fillId="0" borderId="1" xfId="0" applyFont="1" applyFill="1" applyBorder="1" applyAlignment="1">
      <alignment horizontal="left" vertical="center" wrapText="1"/>
    </xf>
    <xf numFmtId="0" fontId="0" fillId="0" borderId="0" xfId="0" applyFill="1" applyAlignment="1">
      <alignment wrapText="1"/>
    </xf>
    <xf numFmtId="14" fontId="4" fillId="2" borderId="52" xfId="0" applyNumberFormat="1"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0" fontId="24" fillId="0" borderId="1" xfId="0" applyFont="1" applyBorder="1" applyAlignment="1">
      <alignment wrapText="1"/>
    </xf>
    <xf numFmtId="0" fontId="24" fillId="0" borderId="1" xfId="0" applyFont="1" applyBorder="1" applyAlignment="1">
      <alignment horizontal="left" wrapText="1"/>
    </xf>
    <xf numFmtId="0" fontId="24" fillId="0" borderId="1" xfId="0" applyFont="1" applyFill="1" applyBorder="1" applyAlignment="1">
      <alignment vertical="center" wrapText="1"/>
    </xf>
    <xf numFmtId="0" fontId="24" fillId="0" borderId="1" xfId="0" applyFont="1" applyFill="1" applyBorder="1" applyAlignment="1">
      <alignment wrapText="1"/>
    </xf>
    <xf numFmtId="0" fontId="25" fillId="2" borderId="1" xfId="0" applyFont="1" applyFill="1" applyBorder="1" applyAlignment="1">
      <alignment horizontal="left" vertical="center" wrapText="1"/>
    </xf>
    <xf numFmtId="0" fontId="24" fillId="0" borderId="0" xfId="0" applyFont="1" applyAlignment="1">
      <alignment wrapText="1"/>
    </xf>
    <xf numFmtId="0" fontId="0" fillId="0" borderId="1" xfId="0" applyFont="1" applyBorder="1" applyAlignment="1">
      <alignment wrapText="1"/>
    </xf>
    <xf numFmtId="0" fontId="0" fillId="0" borderId="1" xfId="0" applyFont="1" applyBorder="1" applyAlignment="1">
      <alignment horizontal="left" wrapText="1"/>
    </xf>
    <xf numFmtId="0" fontId="0" fillId="0" borderId="1" xfId="0" applyFont="1" applyFill="1" applyBorder="1" applyAlignment="1">
      <alignment wrapText="1"/>
    </xf>
    <xf numFmtId="0" fontId="0" fillId="0" borderId="0" xfId="0" applyFont="1" applyAlignment="1">
      <alignment wrapText="1"/>
    </xf>
    <xf numFmtId="0" fontId="1" fillId="4" borderId="14" xfId="0" applyFont="1" applyFill="1" applyBorder="1" applyAlignment="1">
      <alignment horizontal="center" vertical="top"/>
    </xf>
    <xf numFmtId="0" fontId="1" fillId="4" borderId="7" xfId="0" applyFont="1" applyFill="1" applyBorder="1" applyAlignment="1">
      <alignment horizontal="center" vertical="top"/>
    </xf>
    <xf numFmtId="0" fontId="1" fillId="4" borderId="12" xfId="0" applyFont="1" applyFill="1" applyBorder="1" applyAlignment="1">
      <alignment horizontal="center" vertical="top"/>
    </xf>
    <xf numFmtId="49" fontId="2" fillId="4" borderId="50" xfId="0" applyNumberFormat="1" applyFont="1" applyFill="1" applyBorder="1" applyAlignment="1">
      <alignment horizontal="left" vertical="center"/>
    </xf>
    <xf numFmtId="14" fontId="0" fillId="0" borderId="2" xfId="0" applyNumberFormat="1" applyBorder="1"/>
    <xf numFmtId="0" fontId="0" fillId="0" borderId="2" xfId="0" applyBorder="1"/>
    <xf numFmtId="0" fontId="5" fillId="0" borderId="35" xfId="0" applyFont="1" applyBorder="1"/>
    <xf numFmtId="0" fontId="5" fillId="0" borderId="36" xfId="0" applyFont="1" applyBorder="1"/>
    <xf numFmtId="0" fontId="5" fillId="0" borderId="37" xfId="0" applyFont="1" applyBorder="1"/>
    <xf numFmtId="0" fontId="1" fillId="2" borderId="35" xfId="0" applyFont="1" applyFill="1" applyBorder="1" applyAlignment="1">
      <alignment horizontal="center"/>
    </xf>
    <xf numFmtId="0" fontId="1" fillId="2" borderId="37" xfId="0" applyFont="1" applyFill="1" applyBorder="1" applyAlignment="1">
      <alignment horizontal="center"/>
    </xf>
    <xf numFmtId="14" fontId="1" fillId="2" borderId="54" xfId="0" applyNumberFormat="1" applyFont="1" applyFill="1" applyBorder="1" applyAlignment="1">
      <alignment horizontal="center"/>
    </xf>
    <xf numFmtId="0" fontId="1" fillId="2" borderId="55" xfId="0" applyFont="1" applyFill="1" applyBorder="1" applyAlignment="1">
      <alignment horizontal="center"/>
    </xf>
    <xf numFmtId="14" fontId="1" fillId="2" borderId="52" xfId="0" applyNumberFormat="1" applyFont="1" applyFill="1" applyBorder="1" applyAlignment="1">
      <alignment horizontal="center"/>
    </xf>
    <xf numFmtId="0" fontId="1" fillId="2" borderId="56" xfId="0" applyFont="1" applyFill="1" applyBorder="1" applyAlignment="1">
      <alignment horizontal="center"/>
    </xf>
    <xf numFmtId="0" fontId="1" fillId="2" borderId="56" xfId="0" applyNumberFormat="1" applyFont="1" applyFill="1" applyBorder="1" applyAlignment="1">
      <alignment horizontal="center"/>
    </xf>
    <xf numFmtId="14" fontId="1" fillId="2" borderId="67" xfId="0" applyNumberFormat="1" applyFont="1" applyFill="1" applyBorder="1" applyAlignment="1">
      <alignment horizontal="center"/>
    </xf>
    <xf numFmtId="0" fontId="2" fillId="4" borderId="17" xfId="0" applyFont="1" applyFill="1" applyBorder="1"/>
    <xf numFmtId="0" fontId="2" fillId="4" borderId="19" xfId="0" applyFont="1" applyFill="1" applyBorder="1"/>
    <xf numFmtId="49" fontId="1" fillId="2" borderId="15" xfId="0" applyNumberFormat="1" applyFont="1" applyFill="1" applyBorder="1" applyAlignment="1">
      <alignment horizontal="left" vertical="center"/>
    </xf>
    <xf numFmtId="49" fontId="1" fillId="2" borderId="16" xfId="0" applyNumberFormat="1" applyFont="1" applyFill="1" applyBorder="1" applyAlignment="1">
      <alignment horizontal="left" vertical="center"/>
    </xf>
    <xf numFmtId="49" fontId="1" fillId="2" borderId="14" xfId="0" applyNumberFormat="1" applyFont="1" applyFill="1" applyBorder="1" applyAlignment="1">
      <alignment horizontal="left" vertical="center"/>
    </xf>
    <xf numFmtId="49" fontId="2" fillId="2" borderId="17" xfId="0" applyNumberFormat="1" applyFont="1" applyFill="1" applyBorder="1" applyAlignment="1">
      <alignment horizontal="left" vertical="center"/>
    </xf>
    <xf numFmtId="14" fontId="1" fillId="2" borderId="1" xfId="0" applyNumberFormat="1" applyFont="1" applyFill="1" applyBorder="1" applyAlignment="1">
      <alignment horizontal="center" vertical="center" wrapText="1"/>
    </xf>
    <xf numFmtId="0" fontId="27" fillId="2" borderId="15" xfId="0" applyFont="1" applyFill="1" applyBorder="1" applyAlignment="1">
      <alignment horizontal="center"/>
    </xf>
    <xf numFmtId="0" fontId="27" fillId="2" borderId="10" xfId="0" applyFont="1" applyFill="1" applyBorder="1" applyAlignment="1">
      <alignment horizontal="center"/>
    </xf>
    <xf numFmtId="0" fontId="27" fillId="2" borderId="13" xfId="0" applyFont="1" applyFill="1" applyBorder="1" applyAlignment="1">
      <alignment horizontal="center"/>
    </xf>
    <xf numFmtId="0" fontId="27" fillId="2" borderId="16" xfId="0" applyFont="1" applyFill="1" applyBorder="1" applyAlignment="1">
      <alignment horizontal="center"/>
    </xf>
    <xf numFmtId="0" fontId="27" fillId="2" borderId="0" xfId="0" applyFont="1" applyFill="1" applyBorder="1" applyAlignment="1">
      <alignment horizontal="center"/>
    </xf>
    <xf numFmtId="0" fontId="27" fillId="2" borderId="11" xfId="0" applyFont="1" applyFill="1" applyBorder="1" applyAlignment="1">
      <alignment horizontal="center"/>
    </xf>
    <xf numFmtId="0" fontId="0" fillId="0" borderId="1" xfId="0" applyFill="1" applyBorder="1"/>
    <xf numFmtId="14" fontId="0" fillId="0" borderId="0" xfId="0" applyNumberFormat="1"/>
    <xf numFmtId="0" fontId="1" fillId="2" borderId="44" xfId="0" applyFont="1" applyFill="1" applyBorder="1" applyAlignment="1">
      <alignment horizontal="right" vertical="center"/>
    </xf>
    <xf numFmtId="0" fontId="1" fillId="2" borderId="45" xfId="0" applyFont="1" applyFill="1" applyBorder="1" applyAlignment="1">
      <alignment horizontal="right" vertical="center"/>
    </xf>
    <xf numFmtId="0" fontId="0" fillId="2" borderId="50" xfId="0" applyFill="1" applyBorder="1" applyAlignment="1">
      <alignment horizontal="right" vertical="center"/>
    </xf>
    <xf numFmtId="0" fontId="0" fillId="0" borderId="0" xfId="0" applyAlignment="1">
      <alignment horizontal="right"/>
    </xf>
    <xf numFmtId="0" fontId="1" fillId="2" borderId="0" xfId="0" applyFont="1" applyFill="1" applyBorder="1" applyAlignment="1">
      <alignment horizontal="right" vertical="center"/>
    </xf>
    <xf numFmtId="16" fontId="1" fillId="2" borderId="0" xfId="0" applyNumberFormat="1" applyFont="1" applyFill="1" applyBorder="1" applyAlignment="1">
      <alignment horizontal="right" vertical="center"/>
    </xf>
    <xf numFmtId="49" fontId="7" fillId="2" borderId="1" xfId="0" applyNumberFormat="1" applyFont="1" applyFill="1" applyBorder="1" applyAlignment="1">
      <alignment horizontal="left" vertical="center"/>
    </xf>
    <xf numFmtId="0" fontId="0" fillId="2" borderId="1" xfId="0" applyFont="1" applyFill="1" applyBorder="1" applyAlignment="1">
      <alignment horizontal="left"/>
    </xf>
    <xf numFmtId="0" fontId="0" fillId="2" borderId="1" xfId="0" applyFont="1" applyFill="1" applyBorder="1"/>
    <xf numFmtId="0" fontId="5" fillId="0" borderId="1" xfId="0" applyFont="1" applyBorder="1"/>
    <xf numFmtId="0" fontId="5" fillId="2" borderId="0" xfId="0" applyFont="1" applyFill="1" applyAlignment="1">
      <alignment horizontal="right" wrapText="1"/>
    </xf>
    <xf numFmtId="0" fontId="5" fillId="2" borderId="0" xfId="0" applyFont="1" applyFill="1" applyAlignment="1">
      <alignment horizontal="right"/>
    </xf>
    <xf numFmtId="0" fontId="5" fillId="2" borderId="0" xfId="0" applyFont="1" applyFill="1" applyBorder="1" applyAlignment="1">
      <alignment horizontal="right"/>
    </xf>
    <xf numFmtId="0" fontId="6" fillId="2" borderId="0" xfId="0" applyFont="1" applyFill="1" applyAlignment="1" applyProtection="1">
      <alignment vertical="center"/>
      <protection locked="0"/>
    </xf>
    <xf numFmtId="0" fontId="2" fillId="2" borderId="0" xfId="0" applyFont="1" applyFill="1" applyAlignment="1" applyProtection="1">
      <alignment vertical="center"/>
      <protection locked="0"/>
    </xf>
    <xf numFmtId="0" fontId="0" fillId="0" borderId="68" xfId="0" applyFill="1" applyBorder="1"/>
    <xf numFmtId="0" fontId="10" fillId="3" borderId="16" xfId="0" applyFont="1" applyFill="1" applyBorder="1" applyAlignment="1" applyProtection="1">
      <alignment horizontal="center" vertical="center"/>
    </xf>
    <xf numFmtId="0" fontId="10" fillId="3" borderId="0" xfId="0" applyFont="1" applyFill="1" applyBorder="1" applyAlignment="1" applyProtection="1">
      <alignment horizontal="center" vertical="center"/>
    </xf>
    <xf numFmtId="0" fontId="10" fillId="3" borderId="11" xfId="0" applyFont="1" applyFill="1" applyBorder="1" applyAlignment="1" applyProtection="1">
      <alignment horizontal="center" vertical="center"/>
    </xf>
    <xf numFmtId="0" fontId="10" fillId="2" borderId="15" xfId="0" applyFont="1" applyFill="1" applyBorder="1" applyAlignment="1" applyProtection="1">
      <alignment horizontal="center" vertical="center"/>
    </xf>
    <xf numFmtId="0" fontId="10" fillId="2" borderId="10" xfId="0" applyFont="1" applyFill="1" applyBorder="1" applyAlignment="1" applyProtection="1">
      <alignment horizontal="center" vertical="center"/>
    </xf>
    <xf numFmtId="0" fontId="10" fillId="2" borderId="13" xfId="0" applyFont="1" applyFill="1" applyBorder="1" applyAlignment="1" applyProtection="1">
      <alignment horizontal="center" vertical="center"/>
    </xf>
    <xf numFmtId="0" fontId="10" fillId="2" borderId="16"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11" xfId="0" applyFont="1" applyFill="1" applyBorder="1" applyAlignment="1" applyProtection="1">
      <alignment horizontal="center" vertical="center"/>
    </xf>
    <xf numFmtId="0" fontId="10" fillId="2" borderId="14" xfId="0" applyFont="1" applyFill="1" applyBorder="1" applyAlignment="1" applyProtection="1">
      <alignment horizontal="center" vertical="center"/>
    </xf>
    <xf numFmtId="0" fontId="10" fillId="2" borderId="7" xfId="0" applyFont="1" applyFill="1" applyBorder="1" applyAlignment="1" applyProtection="1">
      <alignment horizontal="center" vertical="center"/>
    </xf>
    <xf numFmtId="0" fontId="10" fillId="2" borderId="12" xfId="0" applyFont="1" applyFill="1" applyBorder="1" applyAlignment="1" applyProtection="1">
      <alignment horizontal="center" vertical="center"/>
    </xf>
    <xf numFmtId="0" fontId="15" fillId="2" borderId="14" xfId="0" applyFont="1" applyFill="1" applyBorder="1" applyAlignment="1" applyProtection="1">
      <alignment vertical="center"/>
    </xf>
    <xf numFmtId="0" fontId="15" fillId="2" borderId="7" xfId="0" applyFont="1" applyFill="1" applyBorder="1" applyAlignment="1" applyProtection="1">
      <alignment vertical="center"/>
    </xf>
    <xf numFmtId="0" fontId="10" fillId="3" borderId="15" xfId="0" applyFont="1" applyFill="1" applyBorder="1" applyAlignment="1" applyProtection="1">
      <alignment horizontal="center" vertical="center"/>
    </xf>
    <xf numFmtId="0" fontId="10" fillId="3" borderId="10" xfId="0" applyFont="1" applyFill="1" applyBorder="1" applyAlignment="1" applyProtection="1">
      <alignment horizontal="center" vertical="center"/>
    </xf>
    <xf numFmtId="0" fontId="10" fillId="3" borderId="13" xfId="0" applyFont="1" applyFill="1" applyBorder="1" applyAlignment="1" applyProtection="1">
      <alignment horizontal="center" vertical="center"/>
    </xf>
    <xf numFmtId="0" fontId="10" fillId="2" borderId="69" xfId="0" applyFont="1" applyFill="1" applyBorder="1" applyAlignment="1" applyProtection="1">
      <alignment horizontal="center" vertical="center"/>
    </xf>
    <xf numFmtId="0" fontId="10" fillId="2" borderId="70" xfId="0" applyFont="1" applyFill="1" applyBorder="1" applyAlignment="1" applyProtection="1">
      <alignment horizontal="center" vertical="center"/>
    </xf>
    <xf numFmtId="0" fontId="10" fillId="2" borderId="71" xfId="0" applyFont="1" applyFill="1" applyBorder="1" applyAlignment="1" applyProtection="1">
      <alignment horizontal="center" vertical="center"/>
    </xf>
    <xf numFmtId="0" fontId="10" fillId="2" borderId="65" xfId="0" applyFont="1" applyFill="1" applyBorder="1" applyAlignment="1" applyProtection="1">
      <alignment horizontal="center" vertical="center"/>
    </xf>
    <xf numFmtId="0" fontId="10" fillId="2" borderId="73" xfId="0" applyFont="1" applyFill="1" applyBorder="1" applyAlignment="1" applyProtection="1">
      <alignment horizontal="center" vertical="center"/>
    </xf>
    <xf numFmtId="0" fontId="10" fillId="2" borderId="66" xfId="0" applyFont="1" applyFill="1" applyBorder="1" applyAlignment="1" applyProtection="1">
      <alignment horizontal="center" vertical="center"/>
    </xf>
    <xf numFmtId="0" fontId="15" fillId="2" borderId="72" xfId="0" applyFont="1" applyFill="1" applyBorder="1" applyAlignment="1" applyProtection="1">
      <alignment horizontal="center" vertical="center" wrapText="1"/>
    </xf>
    <xf numFmtId="0" fontId="15" fillId="2" borderId="12" xfId="0" applyFont="1" applyFill="1" applyBorder="1" applyAlignment="1" applyProtection="1">
      <alignment vertical="center"/>
    </xf>
    <xf numFmtId="0" fontId="1" fillId="2" borderId="28" xfId="0" applyNumberFormat="1" applyFont="1" applyFill="1" applyBorder="1" applyAlignment="1">
      <alignment horizontal="center"/>
    </xf>
    <xf numFmtId="0" fontId="16" fillId="2" borderId="16" xfId="0" applyFont="1" applyFill="1" applyBorder="1" applyAlignment="1" applyProtection="1">
      <alignment horizontal="left" vertical="center"/>
    </xf>
    <xf numFmtId="0" fontId="16" fillId="2" borderId="0" xfId="0" applyFont="1" applyFill="1" applyBorder="1" applyAlignment="1" applyProtection="1">
      <alignment horizontal="left" vertical="center"/>
    </xf>
    <xf numFmtId="0" fontId="16" fillId="2" borderId="11" xfId="0" applyFont="1" applyFill="1" applyBorder="1" applyAlignment="1" applyProtection="1">
      <alignment horizontal="left" vertical="center"/>
    </xf>
    <xf numFmtId="0" fontId="9" fillId="5" borderId="0" xfId="0" applyFont="1" applyFill="1" applyBorder="1" applyAlignment="1" applyProtection="1">
      <alignment horizontal="center" vertical="center" wrapText="1"/>
    </xf>
    <xf numFmtId="0" fontId="16" fillId="3" borderId="16" xfId="0" applyFont="1" applyFill="1" applyBorder="1" applyAlignment="1" applyProtection="1">
      <alignment vertical="center"/>
    </xf>
    <xf numFmtId="0" fontId="16" fillId="3" borderId="0" xfId="0" applyFont="1" applyFill="1" applyBorder="1" applyAlignment="1" applyProtection="1">
      <alignment vertical="center"/>
    </xf>
    <xf numFmtId="0" fontId="16" fillId="3" borderId="11" xfId="0" applyFont="1" applyFill="1" applyBorder="1" applyAlignment="1" applyProtection="1">
      <alignment vertical="center"/>
    </xf>
    <xf numFmtId="0" fontId="1" fillId="2" borderId="32" xfId="0" applyFont="1" applyFill="1" applyBorder="1" applyAlignment="1" applyProtection="1">
      <alignment horizontal="center"/>
    </xf>
    <xf numFmtId="0" fontId="1" fillId="2" borderId="16" xfId="0" applyFont="1" applyFill="1" applyBorder="1" applyAlignment="1" applyProtection="1">
      <alignment horizontal="center"/>
    </xf>
    <xf numFmtId="0" fontId="1" fillId="2" borderId="16" xfId="0" applyFont="1" applyFill="1" applyBorder="1" applyAlignment="1">
      <alignment horizontal="center" vertical="center"/>
    </xf>
    <xf numFmtId="0" fontId="1" fillId="2" borderId="11" xfId="0" applyFont="1" applyFill="1" applyBorder="1" applyAlignment="1">
      <alignment horizontal="center" vertical="center"/>
    </xf>
    <xf numFmtId="0" fontId="19" fillId="2" borderId="0"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0" xfId="0" applyFont="1" applyFill="1" applyBorder="1" applyAlignment="1">
      <alignment horizontal="left" vertical="center"/>
    </xf>
    <xf numFmtId="0" fontId="5" fillId="2" borderId="0" xfId="0" applyFont="1" applyFill="1" applyAlignment="1">
      <alignment horizontal="center" vertical="center"/>
    </xf>
    <xf numFmtId="14" fontId="14" fillId="5" borderId="53" xfId="0" applyNumberFormat="1" applyFont="1" applyFill="1" applyBorder="1" applyAlignment="1" applyProtection="1">
      <alignment horizontal="center" vertical="center"/>
    </xf>
    <xf numFmtId="14" fontId="14" fillId="5" borderId="3" xfId="0" applyNumberFormat="1" applyFont="1" applyFill="1" applyBorder="1" applyAlignment="1" applyProtection="1">
      <alignment horizontal="center" vertical="center"/>
    </xf>
    <xf numFmtId="1" fontId="14" fillId="5" borderId="3" xfId="0" applyNumberFormat="1" applyFont="1" applyFill="1" applyBorder="1" applyAlignment="1" applyProtection="1">
      <alignment horizontal="center" vertical="center"/>
    </xf>
    <xf numFmtId="1" fontId="14" fillId="5" borderId="57" xfId="0" applyNumberFormat="1" applyFont="1" applyFill="1" applyBorder="1" applyAlignment="1" applyProtection="1">
      <alignment horizontal="center" vertical="center"/>
    </xf>
    <xf numFmtId="14" fontId="14" fillId="5" borderId="52" xfId="0" applyNumberFormat="1" applyFont="1" applyFill="1" applyBorder="1" applyAlignment="1" applyProtection="1">
      <alignment horizontal="center" vertical="center"/>
    </xf>
    <xf numFmtId="14" fontId="14" fillId="5" borderId="1" xfId="0" applyNumberFormat="1" applyFont="1" applyFill="1" applyBorder="1" applyAlignment="1" applyProtection="1">
      <alignment horizontal="center" vertical="center"/>
    </xf>
    <xf numFmtId="1" fontId="14" fillId="5" borderId="1" xfId="0" applyNumberFormat="1" applyFont="1" applyFill="1" applyBorder="1" applyAlignment="1" applyProtection="1">
      <alignment horizontal="center" vertical="center"/>
    </xf>
    <xf numFmtId="1" fontId="14" fillId="5" borderId="56" xfId="0" applyNumberFormat="1" applyFont="1" applyFill="1" applyBorder="1" applyAlignment="1" applyProtection="1">
      <alignment horizontal="center" vertical="center"/>
    </xf>
    <xf numFmtId="0" fontId="13" fillId="2" borderId="0" xfId="0" applyFont="1" applyFill="1" applyBorder="1" applyAlignment="1" applyProtection="1">
      <alignment horizontal="left" vertical="center"/>
    </xf>
    <xf numFmtId="0" fontId="9" fillId="5" borderId="0" xfId="0" applyFont="1" applyFill="1" applyBorder="1" applyAlignment="1" applyProtection="1">
      <alignment horizontal="left" vertical="center" wrapText="1"/>
    </xf>
    <xf numFmtId="0" fontId="10" fillId="5" borderId="0" xfId="0" applyFont="1" applyFill="1" applyBorder="1" applyAlignment="1" applyProtection="1">
      <alignment horizontal="left" vertical="center" wrapText="1"/>
    </xf>
    <xf numFmtId="0" fontId="13" fillId="2" borderId="0" xfId="0" applyFont="1" applyFill="1" applyBorder="1" applyAlignment="1" applyProtection="1">
      <alignment horizontal="left" vertical="center" wrapText="1"/>
      <protection locked="0"/>
    </xf>
    <xf numFmtId="0" fontId="13" fillId="2" borderId="7" xfId="0" applyFont="1" applyFill="1" applyBorder="1" applyAlignment="1" applyProtection="1">
      <alignment horizontal="left" vertical="center" wrapText="1"/>
      <protection locked="0"/>
    </xf>
    <xf numFmtId="14" fontId="1" fillId="2" borderId="15" xfId="0" applyNumberFormat="1" applyFont="1" applyFill="1" applyBorder="1" applyAlignment="1" applyProtection="1">
      <alignment horizontal="center"/>
    </xf>
    <xf numFmtId="0" fontId="1" fillId="2" borderId="74" xfId="0" applyFont="1" applyFill="1" applyBorder="1" applyAlignment="1" applyProtection="1">
      <alignment horizontal="center"/>
    </xf>
    <xf numFmtId="14" fontId="1" fillId="2" borderId="16" xfId="0" applyNumberFormat="1" applyFont="1" applyFill="1" applyBorder="1" applyAlignment="1" applyProtection="1">
      <alignment horizontal="center"/>
    </xf>
    <xf numFmtId="0" fontId="1" fillId="2" borderId="32" xfId="0" applyFont="1" applyFill="1" applyBorder="1" applyAlignment="1" applyProtection="1">
      <alignment horizontal="center"/>
    </xf>
    <xf numFmtId="0" fontId="1" fillId="2" borderId="16" xfId="0" applyFont="1" applyFill="1" applyBorder="1" applyAlignment="1" applyProtection="1">
      <alignment horizontal="center"/>
    </xf>
    <xf numFmtId="0" fontId="13" fillId="2" borderId="24" xfId="0" applyFont="1" applyFill="1" applyBorder="1" applyAlignment="1" applyProtection="1">
      <alignment horizontal="center" vertical="center"/>
    </xf>
    <xf numFmtId="0" fontId="13" fillId="2" borderId="25" xfId="0" applyFont="1" applyFill="1" applyBorder="1" applyAlignment="1" applyProtection="1">
      <alignment horizontal="center" vertical="center"/>
    </xf>
    <xf numFmtId="0" fontId="13" fillId="2" borderId="27" xfId="0" applyFont="1" applyFill="1" applyBorder="1" applyAlignment="1" applyProtection="1">
      <alignment horizontal="center" vertical="center"/>
    </xf>
    <xf numFmtId="0" fontId="9" fillId="2" borderId="14" xfId="0" applyFont="1" applyFill="1" applyBorder="1" applyAlignment="1" applyProtection="1">
      <alignment horizontal="right" vertical="center"/>
    </xf>
    <xf numFmtId="0" fontId="9" fillId="2" borderId="7" xfId="0" applyFont="1" applyFill="1" applyBorder="1" applyAlignment="1" applyProtection="1">
      <alignment horizontal="right" vertical="center"/>
    </xf>
    <xf numFmtId="0" fontId="9" fillId="2" borderId="12" xfId="0" applyFont="1" applyFill="1" applyBorder="1" applyAlignment="1" applyProtection="1">
      <alignment horizontal="right" vertical="center"/>
    </xf>
    <xf numFmtId="0" fontId="15" fillId="2" borderId="16" xfId="0" applyFont="1" applyFill="1" applyBorder="1" applyAlignment="1" applyProtection="1">
      <alignment horizontal="center" vertical="center" wrapText="1"/>
    </xf>
    <xf numFmtId="0" fontId="15" fillId="2" borderId="64" xfId="0" applyFont="1" applyFill="1" applyBorder="1" applyAlignment="1" applyProtection="1">
      <alignment horizontal="center" vertical="center" wrapText="1"/>
    </xf>
    <xf numFmtId="0" fontId="16" fillId="2" borderId="15" xfId="0" applyFont="1" applyFill="1" applyBorder="1" applyAlignment="1" applyProtection="1">
      <alignment vertical="center"/>
    </xf>
    <xf numFmtId="0" fontId="16" fillId="2" borderId="10" xfId="0" applyFont="1" applyFill="1" applyBorder="1" applyAlignment="1" applyProtection="1">
      <alignment vertical="center"/>
    </xf>
    <xf numFmtId="0" fontId="16" fillId="2" borderId="13" xfId="0" applyFont="1" applyFill="1" applyBorder="1" applyAlignment="1" applyProtection="1">
      <alignment vertical="center"/>
    </xf>
    <xf numFmtId="0" fontId="16" fillId="2" borderId="16" xfId="0" applyFont="1" applyFill="1" applyBorder="1" applyAlignment="1" applyProtection="1">
      <alignment vertical="center"/>
    </xf>
    <xf numFmtId="0" fontId="16" fillId="2" borderId="0" xfId="0" applyFont="1" applyFill="1" applyBorder="1" applyAlignment="1" applyProtection="1">
      <alignment vertical="center"/>
    </xf>
    <xf numFmtId="0" fontId="16" fillId="2" borderId="11" xfId="0" applyFont="1" applyFill="1" applyBorder="1" applyAlignment="1" applyProtection="1">
      <alignment vertical="center"/>
    </xf>
    <xf numFmtId="0" fontId="15" fillId="2" borderId="16" xfId="0" applyFont="1" applyFill="1" applyBorder="1" applyAlignment="1" applyProtection="1">
      <alignment vertical="center"/>
    </xf>
    <xf numFmtId="0" fontId="15" fillId="2" borderId="0" xfId="0" applyFont="1" applyFill="1" applyBorder="1" applyAlignment="1" applyProtection="1">
      <alignment vertical="center"/>
    </xf>
    <xf numFmtId="0" fontId="15" fillId="2" borderId="11" xfId="0" applyFont="1" applyFill="1" applyBorder="1" applyAlignment="1" applyProtection="1">
      <alignment vertical="center"/>
    </xf>
    <xf numFmtId="0" fontId="16" fillId="3" borderId="16" xfId="0" applyFont="1" applyFill="1" applyBorder="1" applyAlignment="1" applyProtection="1">
      <alignment vertical="center"/>
    </xf>
    <xf numFmtId="0" fontId="16" fillId="3" borderId="0" xfId="0" applyFont="1" applyFill="1" applyBorder="1" applyAlignment="1" applyProtection="1">
      <alignment vertical="center"/>
    </xf>
    <xf numFmtId="0" fontId="16" fillId="3" borderId="11" xfId="0" applyFont="1" applyFill="1" applyBorder="1" applyAlignment="1" applyProtection="1">
      <alignment vertical="center"/>
    </xf>
    <xf numFmtId="0" fontId="15" fillId="2" borderId="44" xfId="0" applyFont="1" applyFill="1" applyBorder="1" applyAlignment="1" applyProtection="1">
      <alignment horizontal="center" vertical="center" textRotation="90" wrapText="1"/>
    </xf>
    <xf numFmtId="0" fontId="15" fillId="2" borderId="45" xfId="0" applyFont="1" applyFill="1" applyBorder="1" applyAlignment="1" applyProtection="1">
      <alignment horizontal="center" vertical="center" textRotation="90" wrapText="1"/>
    </xf>
    <xf numFmtId="0" fontId="15" fillId="2" borderId="51" xfId="0" applyFont="1" applyFill="1" applyBorder="1" applyAlignment="1" applyProtection="1">
      <alignment horizontal="center" vertical="center" textRotation="90" wrapText="1"/>
    </xf>
    <xf numFmtId="0" fontId="16" fillId="5" borderId="63" xfId="0" applyFont="1" applyFill="1" applyBorder="1" applyAlignment="1" applyProtection="1">
      <alignment horizontal="center" vertical="center" wrapText="1"/>
    </xf>
    <xf numFmtId="0" fontId="16" fillId="5" borderId="1" xfId="0" applyFont="1" applyFill="1" applyBorder="1" applyAlignment="1" applyProtection="1">
      <alignment horizontal="center" vertical="center" wrapText="1"/>
    </xf>
    <xf numFmtId="0" fontId="16" fillId="5" borderId="4" xfId="0" applyFont="1" applyFill="1" applyBorder="1" applyAlignment="1" applyProtection="1">
      <alignment horizontal="center" vertical="center" wrapText="1"/>
    </xf>
    <xf numFmtId="0" fontId="13" fillId="2" borderId="0" xfId="0" applyFont="1" applyFill="1" applyAlignment="1" applyProtection="1">
      <alignment horizontal="left" vertical="center"/>
      <protection locked="0"/>
    </xf>
    <xf numFmtId="0" fontId="13" fillId="2" borderId="7" xfId="0" applyFont="1" applyFill="1" applyBorder="1" applyAlignment="1" applyProtection="1">
      <alignment horizontal="left" vertical="center"/>
      <protection locked="0"/>
    </xf>
    <xf numFmtId="14" fontId="13" fillId="2" borderId="15" xfId="0" applyNumberFormat="1" applyFont="1" applyFill="1" applyBorder="1" applyAlignment="1" applyProtection="1">
      <alignment horizontal="center" vertical="center"/>
    </xf>
    <xf numFmtId="14" fontId="13" fillId="2" borderId="13" xfId="0" applyNumberFormat="1" applyFont="1" applyFill="1" applyBorder="1" applyAlignment="1" applyProtection="1">
      <alignment horizontal="center" vertical="center"/>
    </xf>
    <xf numFmtId="14" fontId="13" fillId="2" borderId="16" xfId="0" applyNumberFormat="1" applyFont="1" applyFill="1" applyBorder="1" applyAlignment="1" applyProtection="1">
      <alignment horizontal="center" vertical="center"/>
    </xf>
    <xf numFmtId="14" fontId="13" fillId="2" borderId="11" xfId="0" applyNumberFormat="1" applyFont="1" applyFill="1" applyBorder="1" applyAlignment="1" applyProtection="1">
      <alignment horizontal="center" vertical="center"/>
    </xf>
    <xf numFmtId="14" fontId="13" fillId="2" borderId="14" xfId="0" applyNumberFormat="1" applyFont="1" applyFill="1" applyBorder="1" applyAlignment="1" applyProtection="1">
      <alignment horizontal="center" vertical="center"/>
    </xf>
    <xf numFmtId="14" fontId="13" fillId="2" borderId="12" xfId="0" applyNumberFormat="1" applyFont="1" applyFill="1" applyBorder="1" applyAlignment="1" applyProtection="1">
      <alignment horizontal="center" vertical="center"/>
    </xf>
    <xf numFmtId="14" fontId="13" fillId="2" borderId="17" xfId="0" applyNumberFormat="1" applyFont="1" applyFill="1" applyBorder="1" applyAlignment="1" applyProtection="1">
      <alignment horizontal="center" vertical="center"/>
    </xf>
    <xf numFmtId="14" fontId="13" fillId="2" borderId="18" xfId="0" applyNumberFormat="1" applyFont="1" applyFill="1" applyBorder="1" applyAlignment="1" applyProtection="1">
      <alignment horizontal="center" vertical="center"/>
    </xf>
    <xf numFmtId="0" fontId="1" fillId="2" borderId="14" xfId="0" applyFont="1" applyFill="1" applyBorder="1" applyAlignment="1" applyProtection="1">
      <alignment horizontal="center"/>
    </xf>
    <xf numFmtId="0" fontId="1" fillId="2" borderId="59" xfId="0" applyFont="1" applyFill="1" applyBorder="1" applyAlignment="1" applyProtection="1">
      <alignment horizontal="center"/>
    </xf>
    <xf numFmtId="0" fontId="9" fillId="5" borderId="0" xfId="0" applyFont="1" applyFill="1" applyBorder="1" applyAlignment="1" applyProtection="1">
      <alignment horizontal="center" vertical="center" wrapText="1"/>
    </xf>
    <xf numFmtId="0" fontId="15" fillId="5" borderId="44" xfId="0" applyFont="1" applyFill="1" applyBorder="1" applyAlignment="1" applyProtection="1">
      <alignment horizontal="center" vertical="center"/>
    </xf>
    <xf numFmtId="0" fontId="15" fillId="5" borderId="45" xfId="0" applyFont="1" applyFill="1" applyBorder="1" applyAlignment="1" applyProtection="1">
      <alignment horizontal="center" vertical="center"/>
    </xf>
    <xf numFmtId="0" fontId="15" fillId="5" borderId="46" xfId="0" applyFont="1" applyFill="1" applyBorder="1" applyAlignment="1" applyProtection="1">
      <alignment horizontal="center" vertical="center"/>
    </xf>
    <xf numFmtId="0" fontId="15" fillId="5" borderId="15" xfId="0" applyFont="1" applyFill="1" applyBorder="1" applyAlignment="1" applyProtection="1">
      <alignment horizontal="center" vertical="center"/>
    </xf>
    <xf numFmtId="0" fontId="15" fillId="5" borderId="10" xfId="0" applyFont="1" applyFill="1" applyBorder="1" applyAlignment="1" applyProtection="1">
      <alignment horizontal="center" vertical="center"/>
    </xf>
    <xf numFmtId="0" fontId="15" fillId="5" borderId="40" xfId="0" applyFont="1" applyFill="1" applyBorder="1" applyAlignment="1" applyProtection="1">
      <alignment horizontal="center" vertical="center"/>
    </xf>
    <xf numFmtId="0" fontId="15" fillId="5" borderId="16" xfId="0" applyFont="1" applyFill="1" applyBorder="1" applyAlignment="1" applyProtection="1">
      <alignment horizontal="center" vertical="center"/>
    </xf>
    <xf numFmtId="0" fontId="15" fillId="5" borderId="0" xfId="0" applyFont="1" applyFill="1" applyBorder="1" applyAlignment="1" applyProtection="1">
      <alignment horizontal="center" vertical="center"/>
    </xf>
    <xf numFmtId="0" fontId="15" fillId="5" borderId="41" xfId="0" applyFont="1" applyFill="1" applyBorder="1" applyAlignment="1" applyProtection="1">
      <alignment horizontal="center" vertical="center"/>
    </xf>
    <xf numFmtId="0" fontId="15" fillId="5" borderId="14" xfId="0" applyFont="1" applyFill="1" applyBorder="1" applyAlignment="1" applyProtection="1">
      <alignment horizontal="center" vertical="center"/>
    </xf>
    <xf numFmtId="0" fontId="15" fillId="5" borderId="7" xfId="0" applyFont="1" applyFill="1" applyBorder="1" applyAlignment="1" applyProtection="1">
      <alignment horizontal="center" vertical="center"/>
    </xf>
    <xf numFmtId="0" fontId="15" fillId="5" borderId="42" xfId="0" applyFont="1" applyFill="1" applyBorder="1" applyAlignment="1" applyProtection="1">
      <alignment horizontal="center" vertical="center"/>
    </xf>
    <xf numFmtId="0" fontId="15" fillId="5" borderId="47" xfId="0" applyFont="1" applyFill="1" applyBorder="1" applyAlignment="1" applyProtection="1">
      <alignment horizontal="center" vertical="center"/>
    </xf>
    <xf numFmtId="0" fontId="15" fillId="5" borderId="48" xfId="0" applyFont="1" applyFill="1" applyBorder="1" applyAlignment="1" applyProtection="1">
      <alignment horizontal="center" vertical="center"/>
    </xf>
    <xf numFmtId="0" fontId="15" fillId="5" borderId="0" xfId="0" applyFont="1" applyFill="1" applyAlignment="1" applyProtection="1">
      <alignment horizontal="center" vertical="center"/>
    </xf>
    <xf numFmtId="0" fontId="15" fillId="3" borderId="43" xfId="0" applyFont="1" applyFill="1" applyBorder="1" applyAlignment="1" applyProtection="1">
      <alignment horizontal="center" vertical="center" textRotation="90" wrapText="1"/>
    </xf>
    <xf numFmtId="0" fontId="15" fillId="3" borderId="16" xfId="0" applyFont="1" applyFill="1" applyBorder="1" applyAlignment="1" applyProtection="1">
      <alignment horizontal="center" vertical="center" textRotation="90" wrapText="1"/>
    </xf>
    <xf numFmtId="0" fontId="16" fillId="3" borderId="15" xfId="0" applyFont="1" applyFill="1" applyBorder="1" applyAlignment="1" applyProtection="1">
      <alignment vertical="center"/>
    </xf>
    <xf numFmtId="0" fontId="16" fillId="3" borderId="10" xfId="0" applyFont="1" applyFill="1" applyBorder="1" applyAlignment="1" applyProtection="1">
      <alignment vertical="center"/>
    </xf>
    <xf numFmtId="0" fontId="16" fillId="3" borderId="13" xfId="0" applyFont="1" applyFill="1" applyBorder="1" applyAlignment="1" applyProtection="1">
      <alignment vertical="center"/>
    </xf>
    <xf numFmtId="0" fontId="16" fillId="2" borderId="69" xfId="0" applyFont="1" applyFill="1" applyBorder="1" applyAlignment="1" applyProtection="1">
      <alignment vertical="center"/>
    </xf>
    <xf numFmtId="0" fontId="16" fillId="2" borderId="70" xfId="0" applyFont="1" applyFill="1" applyBorder="1" applyAlignment="1" applyProtection="1">
      <alignment vertical="center"/>
    </xf>
    <xf numFmtId="0" fontId="16" fillId="2" borderId="71" xfId="0" applyFont="1" applyFill="1" applyBorder="1" applyAlignment="1" applyProtection="1">
      <alignment vertical="center"/>
    </xf>
    <xf numFmtId="14" fontId="11" fillId="2" borderId="16" xfId="0" applyNumberFormat="1" applyFont="1" applyFill="1" applyBorder="1" applyAlignment="1" applyProtection="1">
      <alignment horizontal="center" vertical="center"/>
    </xf>
    <xf numFmtId="14" fontId="11" fillId="2" borderId="32" xfId="0" applyNumberFormat="1" applyFont="1" applyFill="1" applyBorder="1" applyAlignment="1" applyProtection="1">
      <alignment horizontal="center" vertical="center"/>
    </xf>
    <xf numFmtId="0" fontId="13" fillId="2" borderId="29" xfId="0" applyFont="1" applyFill="1" applyBorder="1" applyAlignment="1" applyProtection="1">
      <alignment horizontal="right" vertical="center"/>
    </xf>
    <xf numFmtId="0" fontId="13" fillId="2" borderId="18" xfId="0" applyFont="1" applyFill="1" applyBorder="1" applyAlignment="1" applyProtection="1">
      <alignment horizontal="right" vertical="center"/>
    </xf>
    <xf numFmtId="0" fontId="13" fillId="2" borderId="19" xfId="0" applyFont="1" applyFill="1" applyBorder="1" applyAlignment="1" applyProtection="1">
      <alignment horizontal="right" vertical="center"/>
    </xf>
    <xf numFmtId="0" fontId="11" fillId="2" borderId="60" xfId="0" applyFont="1" applyFill="1" applyBorder="1" applyAlignment="1" applyProtection="1">
      <alignment horizontal="center" vertical="center" wrapText="1"/>
    </xf>
    <xf numFmtId="0" fontId="11" fillId="2" borderId="58" xfId="0" applyFont="1" applyFill="1" applyBorder="1" applyAlignment="1" applyProtection="1">
      <alignment horizontal="center" vertical="center" wrapText="1"/>
    </xf>
    <xf numFmtId="0" fontId="11" fillId="2" borderId="4" xfId="0" applyFont="1" applyFill="1" applyBorder="1" applyAlignment="1" applyProtection="1">
      <alignment horizontal="center" vertical="center" wrapText="1"/>
    </xf>
    <xf numFmtId="0" fontId="11" fillId="2" borderId="9" xfId="0" applyFont="1" applyFill="1" applyBorder="1" applyAlignment="1" applyProtection="1">
      <alignment horizontal="center" vertical="center" wrapText="1"/>
    </xf>
    <xf numFmtId="0" fontId="11" fillId="2" borderId="28" xfId="0" applyFont="1" applyFill="1" applyBorder="1" applyAlignment="1" applyProtection="1">
      <alignment horizontal="center" vertical="center" wrapText="1"/>
    </xf>
    <xf numFmtId="0" fontId="13" fillId="2" borderId="20" xfId="0" applyFont="1" applyFill="1" applyBorder="1" applyAlignment="1" applyProtection="1">
      <alignment horizontal="right" vertical="center"/>
    </xf>
    <xf numFmtId="0" fontId="15" fillId="5" borderId="63" xfId="0" applyFont="1" applyFill="1" applyBorder="1" applyAlignment="1" applyProtection="1">
      <alignment horizontal="center" vertical="center" wrapText="1"/>
    </xf>
    <xf numFmtId="0" fontId="15" fillId="5" borderId="62" xfId="0" applyFont="1" applyFill="1" applyBorder="1" applyAlignment="1" applyProtection="1">
      <alignment horizontal="center" vertical="center" wrapText="1"/>
    </xf>
    <xf numFmtId="0" fontId="15" fillId="5" borderId="1" xfId="0" applyFont="1" applyFill="1" applyBorder="1" applyAlignment="1" applyProtection="1">
      <alignment horizontal="center" vertical="center" wrapText="1"/>
    </xf>
    <xf numFmtId="0" fontId="15" fillId="5" borderId="56" xfId="0" applyFont="1" applyFill="1" applyBorder="1" applyAlignment="1" applyProtection="1">
      <alignment horizontal="center" vertical="center" wrapText="1"/>
    </xf>
    <xf numFmtId="0" fontId="15" fillId="5" borderId="4" xfId="0" applyFont="1" applyFill="1" applyBorder="1" applyAlignment="1" applyProtection="1">
      <alignment horizontal="center" vertical="center" wrapText="1"/>
    </xf>
    <xf numFmtId="0" fontId="15" fillId="5" borderId="28" xfId="0" applyFont="1" applyFill="1" applyBorder="1" applyAlignment="1" applyProtection="1">
      <alignment horizontal="center" vertical="center" wrapText="1"/>
    </xf>
    <xf numFmtId="0" fontId="16" fillId="2" borderId="65" xfId="0" applyFont="1" applyFill="1" applyBorder="1" applyAlignment="1" applyProtection="1">
      <alignment horizontal="left" vertical="top"/>
    </xf>
    <xf numFmtId="0" fontId="16" fillId="2" borderId="73" xfId="0" applyFont="1" applyFill="1" applyBorder="1" applyAlignment="1" applyProtection="1">
      <alignment horizontal="left" vertical="top"/>
    </xf>
    <xf numFmtId="0" fontId="16" fillId="2" borderId="66" xfId="0" applyFont="1" applyFill="1" applyBorder="1" applyAlignment="1" applyProtection="1">
      <alignment horizontal="left" vertical="top"/>
    </xf>
    <xf numFmtId="0" fontId="2" fillId="2" borderId="14" xfId="0" applyFont="1" applyFill="1" applyBorder="1" applyAlignment="1" applyProtection="1">
      <alignment horizontal="right"/>
      <protection locked="0"/>
    </xf>
    <xf numFmtId="0" fontId="2" fillId="2" borderId="7" xfId="0" applyFont="1" applyFill="1" applyBorder="1" applyAlignment="1" applyProtection="1">
      <alignment horizontal="right"/>
      <protection locked="0"/>
    </xf>
    <xf numFmtId="0" fontId="2" fillId="2" borderId="12" xfId="0" applyFont="1" applyFill="1" applyBorder="1" applyAlignment="1" applyProtection="1">
      <alignment horizontal="right"/>
      <protection locked="0"/>
    </xf>
    <xf numFmtId="0" fontId="2" fillId="2" borderId="0" xfId="0" applyFont="1" applyFill="1" applyBorder="1" applyAlignment="1" applyProtection="1">
      <alignment horizontal="center" vertical="center" textRotation="90" wrapText="1"/>
    </xf>
    <xf numFmtId="0" fontId="2" fillId="2" borderId="11" xfId="0" applyFont="1" applyFill="1" applyBorder="1" applyAlignment="1" applyProtection="1">
      <alignment horizontal="center" vertical="center" textRotation="90" wrapText="1"/>
    </xf>
    <xf numFmtId="0" fontId="15" fillId="2" borderId="50" xfId="0" applyFont="1" applyFill="1" applyBorder="1" applyAlignment="1" applyProtection="1">
      <alignment horizontal="center" vertical="center" textRotation="90" wrapText="1"/>
    </xf>
    <xf numFmtId="0" fontId="16" fillId="2" borderId="69" xfId="0" applyFont="1" applyFill="1" applyBorder="1" applyAlignment="1" applyProtection="1">
      <alignment horizontal="left" vertical="center"/>
    </xf>
    <xf numFmtId="0" fontId="16" fillId="2" borderId="70" xfId="0" applyFont="1" applyFill="1" applyBorder="1" applyAlignment="1" applyProtection="1">
      <alignment horizontal="left" vertical="center"/>
    </xf>
    <xf numFmtId="0" fontId="16" fillId="2" borderId="71" xfId="0" applyFont="1" applyFill="1" applyBorder="1" applyAlignment="1" applyProtection="1">
      <alignment horizontal="left" vertical="center"/>
    </xf>
    <xf numFmtId="0" fontId="16" fillId="2" borderId="16" xfId="0" applyFont="1" applyFill="1" applyBorder="1" applyAlignment="1" applyProtection="1">
      <alignment horizontal="left" vertical="center"/>
    </xf>
    <xf numFmtId="0" fontId="16" fillId="2" borderId="0" xfId="0" applyFont="1" applyFill="1" applyBorder="1" applyAlignment="1" applyProtection="1">
      <alignment horizontal="left" vertical="center"/>
    </xf>
    <xf numFmtId="0" fontId="16" fillId="2" borderId="11" xfId="0" applyFont="1" applyFill="1" applyBorder="1" applyAlignment="1" applyProtection="1">
      <alignment horizontal="left" vertical="center"/>
    </xf>
    <xf numFmtId="0" fontId="16" fillId="2" borderId="14" xfId="0" applyFont="1" applyFill="1" applyBorder="1" applyAlignment="1" applyProtection="1">
      <alignment horizontal="left" vertical="center"/>
    </xf>
    <xf numFmtId="0" fontId="16" fillId="2" borderId="7" xfId="0" applyFont="1" applyFill="1" applyBorder="1" applyAlignment="1" applyProtection="1">
      <alignment horizontal="left" vertical="center"/>
    </xf>
    <xf numFmtId="0" fontId="16" fillId="2" borderId="12" xfId="0" applyFont="1" applyFill="1" applyBorder="1" applyAlignment="1" applyProtection="1">
      <alignment horizontal="left" vertical="center"/>
    </xf>
    <xf numFmtId="0" fontId="15" fillId="5" borderId="61" xfId="0" applyFont="1" applyFill="1" applyBorder="1" applyAlignment="1" applyProtection="1">
      <alignment horizontal="center" vertical="center" wrapText="1"/>
    </xf>
    <xf numFmtId="0" fontId="15" fillId="5" borderId="52" xfId="0" applyFont="1" applyFill="1" applyBorder="1" applyAlignment="1" applyProtection="1">
      <alignment horizontal="center" vertical="center" wrapText="1"/>
    </xf>
    <xf numFmtId="0" fontId="15" fillId="5" borderId="67" xfId="0" applyFont="1" applyFill="1" applyBorder="1" applyAlignment="1" applyProtection="1">
      <alignment horizontal="center" vertical="center" wrapText="1"/>
    </xf>
    <xf numFmtId="0" fontId="0" fillId="2" borderId="0" xfId="0" applyFill="1" applyBorder="1" applyAlignment="1">
      <alignment horizontal="right" vertical="center"/>
    </xf>
    <xf numFmtId="0" fontId="26" fillId="2" borderId="0" xfId="0" applyFont="1" applyFill="1" applyBorder="1" applyAlignment="1">
      <alignment horizontal="left" vertical="center"/>
    </xf>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64" xfId="0" applyFont="1" applyFill="1" applyBorder="1" applyAlignment="1">
      <alignment horizontal="center" vertical="center"/>
    </xf>
    <xf numFmtId="0" fontId="2" fillId="2" borderId="0" xfId="0" applyFont="1" applyFill="1" applyBorder="1" applyAlignment="1">
      <alignment horizontal="center" vertical="center"/>
    </xf>
    <xf numFmtId="0" fontId="2" fillId="2" borderId="7" xfId="0" applyFont="1" applyFill="1" applyBorder="1" applyAlignment="1">
      <alignment horizontal="right" vertical="top"/>
    </xf>
    <xf numFmtId="0" fontId="2" fillId="2" borderId="14" xfId="0" applyFont="1" applyFill="1" applyBorder="1" applyAlignment="1">
      <alignment horizontal="right" vertical="top"/>
    </xf>
    <xf numFmtId="0" fontId="2" fillId="2" borderId="12" xfId="0" applyFont="1" applyFill="1" applyBorder="1" applyAlignment="1">
      <alignment horizontal="right" vertical="top"/>
    </xf>
    <xf numFmtId="0" fontId="2" fillId="2" borderId="10"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6" xfId="0" applyFont="1" applyFill="1" applyBorder="1" applyAlignment="1">
      <alignment horizontal="center" vertical="center"/>
    </xf>
    <xf numFmtId="0" fontId="1" fillId="2" borderId="44" xfId="0" applyFont="1" applyFill="1" applyBorder="1" applyAlignment="1">
      <alignment horizontal="center" vertical="center"/>
    </xf>
    <xf numFmtId="0" fontId="1" fillId="2" borderId="45" xfId="0" applyFont="1" applyFill="1" applyBorder="1" applyAlignment="1">
      <alignment horizontal="center" vertical="center"/>
    </xf>
    <xf numFmtId="0" fontId="1" fillId="2" borderId="50" xfId="0" applyFont="1" applyFill="1" applyBorder="1" applyAlignment="1">
      <alignment horizontal="center" vertical="center"/>
    </xf>
    <xf numFmtId="49" fontId="1" fillId="2" borderId="49" xfId="0" applyNumberFormat="1" applyFont="1" applyFill="1" applyBorder="1" applyAlignment="1">
      <alignment horizontal="center" vertical="center" wrapText="1"/>
    </xf>
    <xf numFmtId="49" fontId="1" fillId="2" borderId="45" xfId="0" applyNumberFormat="1" applyFont="1" applyFill="1" applyBorder="1" applyAlignment="1">
      <alignment horizontal="center" vertical="center" wrapText="1"/>
    </xf>
    <xf numFmtId="49" fontId="1" fillId="2" borderId="16" xfId="0" applyNumberFormat="1" applyFont="1" applyFill="1" applyBorder="1" applyAlignment="1">
      <alignment horizontal="center" vertical="center" wrapText="1"/>
    </xf>
    <xf numFmtId="49" fontId="1" fillId="2" borderId="14"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14" fontId="1" fillId="2" borderId="10" xfId="0" applyNumberFormat="1" applyFont="1" applyFill="1" applyBorder="1" applyAlignment="1">
      <alignment horizontal="center" vertical="center"/>
    </xf>
    <xf numFmtId="0" fontId="2" fillId="2" borderId="0" xfId="0" applyFont="1" applyFill="1" applyAlignment="1">
      <alignment horizontal="center" vertical="center"/>
    </xf>
    <xf numFmtId="0" fontId="5" fillId="2" borderId="0" xfId="0" applyFont="1" applyFill="1" applyAlignment="1">
      <alignment horizontal="center" vertical="center"/>
    </xf>
    <xf numFmtId="0" fontId="4" fillId="2"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1" fillId="2" borderId="75"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1" fillId="8" borderId="75" xfId="0" applyFont="1" applyFill="1" applyBorder="1" applyAlignment="1">
      <alignment horizontal="center" vertical="center" wrapText="1"/>
    </xf>
    <xf numFmtId="0" fontId="1" fillId="8" borderId="31" xfId="0" applyFont="1" applyFill="1" applyBorder="1" applyAlignment="1">
      <alignment horizontal="center" vertical="center" wrapText="1"/>
    </xf>
    <xf numFmtId="0" fontId="23" fillId="2" borderId="0" xfId="0" applyFont="1" applyFill="1" applyAlignment="1">
      <alignment horizontal="left" vertical="center"/>
    </xf>
    <xf numFmtId="0" fontId="13" fillId="2" borderId="63" xfId="0" applyFont="1" applyFill="1" applyBorder="1" applyAlignment="1">
      <alignment horizontal="center" vertical="center" wrapText="1"/>
    </xf>
    <xf numFmtId="0" fontId="5" fillId="0" borderId="17" xfId="0" applyFont="1" applyBorder="1" applyAlignment="1">
      <alignment horizontal="center"/>
    </xf>
    <xf numFmtId="0" fontId="5" fillId="0" borderId="18" xfId="0" applyFont="1" applyBorder="1" applyAlignment="1">
      <alignment horizontal="center"/>
    </xf>
    <xf numFmtId="0" fontId="5" fillId="0" borderId="19" xfId="0" applyFont="1" applyBorder="1" applyAlignment="1">
      <alignment horizontal="center"/>
    </xf>
    <xf numFmtId="0" fontId="2" fillId="2" borderId="0" xfId="0" applyFont="1" applyFill="1" applyBorder="1" applyAlignment="1">
      <alignment horizontal="left" vertical="center"/>
    </xf>
    <xf numFmtId="0" fontId="20" fillId="2" borderId="0" xfId="0" applyFont="1" applyFill="1" applyBorder="1" applyAlignment="1">
      <alignment horizontal="center" vertical="center"/>
    </xf>
    <xf numFmtId="0" fontId="19" fillId="2" borderId="0" xfId="0" applyFont="1" applyFill="1" applyBorder="1" applyAlignment="1">
      <alignment horizontal="center" vertical="center"/>
    </xf>
    <xf numFmtId="0" fontId="19" fillId="2" borderId="11"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18" xfId="0" applyFont="1" applyFill="1" applyBorder="1" applyAlignment="1">
      <alignment horizontal="right" vertical="center"/>
    </xf>
    <xf numFmtId="0" fontId="2" fillId="2" borderId="19" xfId="0" applyFont="1" applyFill="1" applyBorder="1" applyAlignment="1">
      <alignment horizontal="right" vertical="center"/>
    </xf>
    <xf numFmtId="0" fontId="2" fillId="2" borderId="39"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2" xfId="0" applyFont="1" applyFill="1" applyBorder="1" applyAlignment="1">
      <alignment horizontal="center" vertical="center"/>
    </xf>
    <xf numFmtId="49" fontId="1" fillId="2" borderId="15"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49" fontId="1" fillId="2" borderId="16"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0" fontId="2" fillId="2" borderId="17" xfId="0" applyFont="1" applyFill="1" applyBorder="1" applyAlignment="1">
      <alignment horizontal="right" vertical="center"/>
    </xf>
    <xf numFmtId="0" fontId="2" fillId="2" borderId="17" xfId="0" applyFont="1" applyFill="1" applyBorder="1" applyAlignment="1">
      <alignment horizontal="center" vertical="center"/>
    </xf>
    <xf numFmtId="0" fontId="2" fillId="2" borderId="19" xfId="0" applyFont="1" applyFill="1" applyBorder="1" applyAlignment="1">
      <alignment horizontal="center" vertical="center"/>
    </xf>
    <xf numFmtId="49" fontId="2" fillId="2" borderId="17" xfId="0" applyNumberFormat="1" applyFont="1" applyFill="1" applyBorder="1" applyAlignment="1">
      <alignment horizontal="center" vertical="center"/>
    </xf>
    <xf numFmtId="49" fontId="2" fillId="2" borderId="19" xfId="0" applyNumberFormat="1" applyFont="1" applyFill="1" applyBorder="1" applyAlignment="1">
      <alignment horizontal="center" vertical="center"/>
    </xf>
    <xf numFmtId="0" fontId="4" fillId="7" borderId="7" xfId="0" applyFont="1" applyFill="1" applyBorder="1" applyAlignment="1">
      <alignment horizontal="center"/>
    </xf>
    <xf numFmtId="14" fontId="14" fillId="5" borderId="52" xfId="0" applyNumberFormat="1" applyFont="1" applyFill="1" applyBorder="1" applyAlignment="1" applyProtection="1">
      <alignment horizontal="center" vertical="center" wrapText="1"/>
      <protection locked="0"/>
    </xf>
    <xf numFmtId="14" fontId="14" fillId="5" borderId="1" xfId="0" applyNumberFormat="1" applyFont="1" applyFill="1" applyBorder="1" applyAlignment="1" applyProtection="1">
      <alignment horizontal="center" vertical="center" wrapText="1"/>
      <protection locked="0"/>
    </xf>
    <xf numFmtId="0" fontId="1" fillId="0" borderId="1" xfId="0" applyFont="1" applyBorder="1" applyAlignment="1" applyProtection="1">
      <alignment wrapText="1"/>
      <protection locked="0"/>
    </xf>
    <xf numFmtId="0" fontId="1" fillId="0" borderId="56" xfId="0" applyFont="1" applyBorder="1" applyAlignment="1" applyProtection="1">
      <alignment wrapText="1"/>
      <protection locked="0"/>
    </xf>
    <xf numFmtId="0" fontId="11" fillId="2" borderId="7" xfId="0" applyFont="1" applyFill="1" applyBorder="1" applyAlignment="1" applyProtection="1">
      <alignment horizontal="left"/>
      <protection locked="0"/>
    </xf>
    <xf numFmtId="0" fontId="15" fillId="5" borderId="17" xfId="0" applyFont="1" applyFill="1" applyBorder="1" applyAlignment="1" applyProtection="1">
      <alignment horizontal="center" vertical="center" wrapText="1"/>
    </xf>
    <xf numFmtId="0" fontId="15" fillId="5" borderId="18" xfId="0" applyFont="1" applyFill="1" applyBorder="1" applyAlignment="1" applyProtection="1">
      <alignment horizontal="center" vertical="center" wrapText="1"/>
    </xf>
    <xf numFmtId="14" fontId="14" fillId="5" borderId="54" xfId="0" applyNumberFormat="1" applyFont="1" applyFill="1" applyBorder="1" applyAlignment="1" applyProtection="1">
      <alignment horizontal="center" vertical="center" wrapText="1"/>
      <protection locked="0"/>
    </xf>
    <xf numFmtId="14" fontId="14" fillId="5" borderId="2" xfId="0" applyNumberFormat="1" applyFont="1" applyFill="1" applyBorder="1" applyAlignment="1" applyProtection="1">
      <alignment horizontal="center" vertical="center" wrapText="1"/>
      <protection locked="0"/>
    </xf>
    <xf numFmtId="0" fontId="15" fillId="5" borderId="19" xfId="0" applyFont="1" applyFill="1" applyBorder="1" applyAlignment="1" applyProtection="1">
      <alignment horizontal="center" vertical="center" wrapText="1"/>
    </xf>
    <xf numFmtId="0" fontId="14" fillId="0" borderId="2" xfId="0" applyFont="1" applyBorder="1" applyAlignment="1" applyProtection="1">
      <alignment wrapText="1"/>
      <protection locked="0"/>
    </xf>
    <xf numFmtId="0" fontId="1" fillId="0" borderId="2" xfId="0" applyFont="1" applyBorder="1" applyAlignment="1" applyProtection="1">
      <alignment wrapText="1"/>
      <protection locked="0"/>
    </xf>
    <xf numFmtId="0" fontId="1" fillId="0" borderId="55" xfId="0" applyFont="1" applyBorder="1" applyAlignment="1" applyProtection="1">
      <alignment wrapText="1"/>
      <protection locked="0"/>
    </xf>
    <xf numFmtId="0" fontId="2" fillId="2" borderId="20" xfId="0" applyFont="1" applyFill="1" applyBorder="1" applyAlignment="1">
      <alignment horizontal="right" vertical="center"/>
    </xf>
    <xf numFmtId="0" fontId="2" fillId="2" borderId="29" xfId="0" applyFont="1" applyFill="1" applyBorder="1" applyAlignment="1">
      <alignment horizontal="right" vertical="center"/>
    </xf>
    <xf numFmtId="14" fontId="1" fillId="2" borderId="21" xfId="0" applyNumberFormat="1" applyFont="1" applyFill="1" applyBorder="1" applyAlignment="1">
      <alignment horizontal="center" vertical="top"/>
    </xf>
    <xf numFmtId="14" fontId="1" fillId="2" borderId="22" xfId="0" applyNumberFormat="1" applyFont="1" applyFill="1" applyBorder="1" applyAlignment="1">
      <alignment horizontal="center" vertical="top"/>
    </xf>
    <xf numFmtId="14" fontId="1" fillId="2" borderId="23" xfId="0" applyNumberFormat="1" applyFont="1" applyFill="1" applyBorder="1" applyAlignment="1">
      <alignment horizontal="center" vertical="top"/>
    </xf>
    <xf numFmtId="0" fontId="2" fillId="2" borderId="24" xfId="0" applyFont="1" applyFill="1" applyBorder="1" applyAlignment="1">
      <alignment horizontal="center" vertical="center"/>
    </xf>
    <xf numFmtId="0" fontId="2" fillId="2" borderId="26"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2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89496-5B27-4DBF-B70B-608C3CD2C6A0}">
  <dimension ref="A1:AL47"/>
  <sheetViews>
    <sheetView tabSelected="1" showWhiteSpace="0" view="pageLayout" topLeftCell="C5" zoomScaleNormal="100" workbookViewId="0">
      <selection activeCell="L30" activeCellId="1" sqref="F30:G30 L30:M30"/>
    </sheetView>
  </sheetViews>
  <sheetFormatPr defaultColWidth="8.85546875" defaultRowHeight="12.6"/>
  <cols>
    <col min="1" max="1" width="7" style="79" customWidth="1"/>
    <col min="2" max="2" width="7.7109375" style="79" customWidth="1"/>
    <col min="3" max="3" width="8.85546875" style="79"/>
    <col min="4" max="4" width="4.28515625" style="79" customWidth="1"/>
    <col min="5" max="5" width="7.42578125" style="79" customWidth="1"/>
    <col min="6" max="6" width="8.5703125" style="79" bestFit="1" customWidth="1"/>
    <col min="7" max="7" width="3" style="79" bestFit="1" customWidth="1"/>
    <col min="8" max="11" width="4" style="79" bestFit="1" customWidth="1"/>
    <col min="12" max="12" width="3" style="79" bestFit="1" customWidth="1"/>
    <col min="13" max="13" width="2.28515625" style="79" bestFit="1" customWidth="1"/>
    <col min="14" max="14" width="3" style="79" bestFit="1" customWidth="1"/>
    <col min="15" max="15" width="2.28515625" style="79" bestFit="1" customWidth="1"/>
    <col min="16" max="16" width="4" style="79" bestFit="1" customWidth="1"/>
    <col min="17" max="17" width="2.28515625" style="79" bestFit="1" customWidth="1"/>
    <col min="18" max="18" width="7" style="79" customWidth="1"/>
    <col min="19" max="19" width="10.85546875" style="79" customWidth="1"/>
    <col min="20" max="20" width="5.7109375" style="79" customWidth="1"/>
    <col min="21" max="33" width="4.42578125" style="79" customWidth="1"/>
    <col min="34" max="34" width="10.85546875" style="79" customWidth="1"/>
    <col min="35" max="16384" width="8.85546875" style="79"/>
  </cols>
  <sheetData>
    <row r="1" spans="1:34">
      <c r="A1" s="78"/>
      <c r="B1" s="264" t="s">
        <v>0</v>
      </c>
      <c r="C1" s="264"/>
      <c r="D1" s="264"/>
      <c r="E1" s="264"/>
      <c r="F1" s="264"/>
      <c r="G1" s="264"/>
      <c r="H1" s="264"/>
      <c r="I1" s="264"/>
      <c r="J1" s="264"/>
      <c r="K1" s="264"/>
      <c r="L1" s="264"/>
      <c r="M1" s="264"/>
      <c r="N1" s="264"/>
      <c r="O1" s="264"/>
      <c r="P1" s="264"/>
      <c r="Q1" s="264"/>
      <c r="R1" s="78"/>
      <c r="S1" s="78"/>
      <c r="T1" s="297" t="s">
        <v>1</v>
      </c>
      <c r="U1" s="297"/>
      <c r="V1" s="297"/>
      <c r="W1" s="297"/>
      <c r="X1" s="297"/>
      <c r="Y1" s="297"/>
      <c r="Z1" s="297"/>
      <c r="AA1" s="297"/>
      <c r="AB1" s="297"/>
      <c r="AC1" s="297"/>
      <c r="AD1" s="297"/>
      <c r="AE1" s="297"/>
      <c r="AF1" s="297"/>
      <c r="AG1" s="78"/>
      <c r="AH1" s="78"/>
    </row>
    <row r="2" spans="1:34" ht="13.15" customHeight="1" thickBot="1">
      <c r="A2" s="78"/>
      <c r="B2" s="264"/>
      <c r="C2" s="264"/>
      <c r="D2" s="264"/>
      <c r="E2" s="264"/>
      <c r="F2" s="264"/>
      <c r="G2" s="264"/>
      <c r="H2" s="264"/>
      <c r="I2" s="264"/>
      <c r="J2" s="264"/>
      <c r="K2" s="264"/>
      <c r="L2" s="264"/>
      <c r="M2" s="264"/>
      <c r="N2" s="264"/>
      <c r="O2" s="264"/>
      <c r="P2" s="264"/>
      <c r="Q2" s="264"/>
      <c r="R2" s="78"/>
      <c r="S2" s="78"/>
      <c r="T2" s="298"/>
      <c r="U2" s="298"/>
      <c r="V2" s="298"/>
      <c r="W2" s="298"/>
      <c r="X2" s="298"/>
      <c r="Y2" s="298"/>
      <c r="Z2" s="298"/>
      <c r="AA2" s="298"/>
      <c r="AB2" s="298"/>
      <c r="AC2" s="298"/>
      <c r="AD2" s="298"/>
      <c r="AE2" s="298"/>
      <c r="AF2" s="298"/>
      <c r="AG2" s="78"/>
      <c r="AH2" s="78"/>
    </row>
    <row r="3" spans="1:34" ht="14.45" customHeight="1">
      <c r="A3" s="78"/>
      <c r="B3" s="264"/>
      <c r="C3" s="264"/>
      <c r="D3" s="264"/>
      <c r="E3" s="264"/>
      <c r="F3" s="264"/>
      <c r="G3" s="264"/>
      <c r="H3" s="264"/>
      <c r="I3" s="264"/>
      <c r="J3" s="264"/>
      <c r="K3" s="264"/>
      <c r="L3" s="264"/>
      <c r="M3" s="264"/>
      <c r="N3" s="264"/>
      <c r="O3" s="264"/>
      <c r="P3" s="264"/>
      <c r="Q3" s="264"/>
      <c r="R3" s="78"/>
      <c r="S3" s="78"/>
      <c r="T3" s="299" t="s">
        <v>2</v>
      </c>
      <c r="U3" s="300"/>
      <c r="V3" s="272" t="s">
        <v>3</v>
      </c>
      <c r="W3" s="272"/>
      <c r="X3" s="272"/>
      <c r="Y3" s="272"/>
      <c r="Z3" s="272"/>
      <c r="AA3" s="272"/>
      <c r="AB3" s="271" t="s">
        <v>4</v>
      </c>
      <c r="AC3" s="272"/>
      <c r="AD3" s="272"/>
      <c r="AE3" s="272"/>
      <c r="AF3" s="272"/>
      <c r="AG3" s="273"/>
      <c r="AH3" s="78"/>
    </row>
    <row r="4" spans="1:34" ht="13.9" customHeight="1" thickBot="1">
      <c r="A4" s="80"/>
      <c r="B4" s="265"/>
      <c r="C4" s="265"/>
      <c r="D4" s="265"/>
      <c r="E4" s="265"/>
      <c r="F4" s="265"/>
      <c r="G4" s="265"/>
      <c r="H4" s="265"/>
      <c r="I4" s="265"/>
      <c r="J4" s="265"/>
      <c r="K4" s="265"/>
      <c r="L4" s="265"/>
      <c r="M4" s="265"/>
      <c r="N4" s="265"/>
      <c r="O4" s="265"/>
      <c r="P4" s="265"/>
      <c r="Q4" s="265"/>
      <c r="R4" s="80"/>
      <c r="S4" s="80"/>
      <c r="T4" s="301"/>
      <c r="U4" s="302"/>
      <c r="V4" s="338" t="s">
        <v>5</v>
      </c>
      <c r="W4" s="339"/>
      <c r="X4" s="340" t="s">
        <v>6</v>
      </c>
      <c r="Y4" s="341"/>
      <c r="Z4" s="340" t="s">
        <v>7</v>
      </c>
      <c r="AA4" s="341"/>
      <c r="AB4" s="340" t="s">
        <v>5</v>
      </c>
      <c r="AC4" s="341"/>
      <c r="AD4" s="340" t="s">
        <v>6</v>
      </c>
      <c r="AE4" s="341"/>
      <c r="AF4" s="340" t="s">
        <v>7</v>
      </c>
      <c r="AG4" s="342"/>
      <c r="AH4" s="81"/>
    </row>
    <row r="5" spans="1:34" ht="13.15" customHeight="1" thickBot="1">
      <c r="A5" s="78"/>
      <c r="B5" s="310"/>
      <c r="C5" s="313" t="s">
        <v>8</v>
      </c>
      <c r="D5" s="314"/>
      <c r="E5" s="315"/>
      <c r="F5" s="322" t="s">
        <v>9</v>
      </c>
      <c r="G5" s="314"/>
      <c r="H5" s="314"/>
      <c r="I5" s="314"/>
      <c r="J5" s="314"/>
      <c r="K5" s="315"/>
      <c r="L5" s="322" t="s">
        <v>10</v>
      </c>
      <c r="M5" s="314"/>
      <c r="N5" s="314"/>
      <c r="O5" s="314"/>
      <c r="P5" s="314"/>
      <c r="Q5" s="315"/>
      <c r="R5" s="78"/>
      <c r="S5" s="78"/>
      <c r="T5" s="303"/>
      <c r="U5" s="304"/>
      <c r="V5" s="82" t="s">
        <v>11</v>
      </c>
      <c r="W5" s="83" t="s">
        <v>12</v>
      </c>
      <c r="X5" s="84" t="s">
        <v>11</v>
      </c>
      <c r="Y5" s="83" t="s">
        <v>12</v>
      </c>
      <c r="Z5" s="84" t="s">
        <v>11</v>
      </c>
      <c r="AA5" s="83" t="s">
        <v>12</v>
      </c>
      <c r="AB5" s="84" t="s">
        <v>11</v>
      </c>
      <c r="AC5" s="83" t="s">
        <v>12</v>
      </c>
      <c r="AD5" s="84" t="s">
        <v>11</v>
      </c>
      <c r="AE5" s="83" t="s">
        <v>12</v>
      </c>
      <c r="AF5" s="84" t="s">
        <v>11</v>
      </c>
      <c r="AG5" s="85" t="s">
        <v>12</v>
      </c>
      <c r="AH5" s="78"/>
    </row>
    <row r="6" spans="1:34" ht="15" customHeight="1">
      <c r="A6" s="78"/>
      <c r="B6" s="311"/>
      <c r="C6" s="316"/>
      <c r="D6" s="317"/>
      <c r="E6" s="318"/>
      <c r="F6" s="323" t="s">
        <v>3</v>
      </c>
      <c r="G6" s="324"/>
      <c r="H6" s="324" t="s">
        <v>4</v>
      </c>
      <c r="I6" s="324"/>
      <c r="J6" s="324" t="s">
        <v>13</v>
      </c>
      <c r="K6" s="318"/>
      <c r="L6" s="323" t="s">
        <v>3</v>
      </c>
      <c r="M6" s="324"/>
      <c r="N6" s="324" t="s">
        <v>4</v>
      </c>
      <c r="O6" s="324"/>
      <c r="P6" s="324" t="s">
        <v>13</v>
      </c>
      <c r="Q6" s="318"/>
      <c r="R6" s="78"/>
      <c r="S6" s="78"/>
      <c r="T6" s="266">
        <v>45377</v>
      </c>
      <c r="U6" s="267"/>
      <c r="V6" s="86">
        <v>6</v>
      </c>
      <c r="W6" s="87">
        <v>1</v>
      </c>
      <c r="X6" s="86">
        <v>1</v>
      </c>
      <c r="Y6" s="87">
        <v>1</v>
      </c>
      <c r="Z6" s="86">
        <v>0</v>
      </c>
      <c r="AA6" s="87">
        <v>0</v>
      </c>
      <c r="AB6" s="86">
        <v>7</v>
      </c>
      <c r="AC6" s="87">
        <v>6</v>
      </c>
      <c r="AD6" s="86">
        <v>0</v>
      </c>
      <c r="AE6" s="87">
        <v>1</v>
      </c>
      <c r="AF6" s="86">
        <v>1</v>
      </c>
      <c r="AG6" s="88">
        <v>3</v>
      </c>
      <c r="AH6" s="78"/>
    </row>
    <row r="7" spans="1:34" ht="15" customHeight="1" thickBot="1">
      <c r="A7" s="78"/>
      <c r="B7" s="312"/>
      <c r="C7" s="319"/>
      <c r="D7" s="320"/>
      <c r="E7" s="321"/>
      <c r="F7" s="89" t="s">
        <v>14</v>
      </c>
      <c r="G7" s="89" t="s">
        <v>15</v>
      </c>
      <c r="H7" s="89" t="s">
        <v>14</v>
      </c>
      <c r="I7" s="89" t="s">
        <v>15</v>
      </c>
      <c r="J7" s="89" t="s">
        <v>13</v>
      </c>
      <c r="K7" s="89" t="s">
        <v>16</v>
      </c>
      <c r="L7" s="90" t="s">
        <v>14</v>
      </c>
      <c r="M7" s="89" t="s">
        <v>15</v>
      </c>
      <c r="N7" s="89" t="s">
        <v>14</v>
      </c>
      <c r="O7" s="89" t="s">
        <v>15</v>
      </c>
      <c r="P7" s="89" t="s">
        <v>13</v>
      </c>
      <c r="Q7" s="91" t="s">
        <v>16</v>
      </c>
      <c r="R7" s="78"/>
      <c r="S7" s="78"/>
      <c r="T7" s="268"/>
      <c r="U7" s="269"/>
      <c r="V7" s="86"/>
      <c r="W7" s="87"/>
      <c r="X7" s="86"/>
      <c r="Y7" s="87"/>
      <c r="Z7" s="86"/>
      <c r="AA7" s="87"/>
      <c r="AB7" s="86"/>
      <c r="AC7" s="87"/>
      <c r="AD7" s="86"/>
      <c r="AE7" s="87"/>
      <c r="AF7" s="86"/>
      <c r="AG7" s="88"/>
      <c r="AH7" s="78"/>
    </row>
    <row r="8" spans="1:34">
      <c r="A8" s="357" t="s">
        <v>17</v>
      </c>
      <c r="B8" s="325" t="s">
        <v>18</v>
      </c>
      <c r="C8" s="327" t="s">
        <v>19</v>
      </c>
      <c r="D8" s="328"/>
      <c r="E8" s="329"/>
      <c r="F8" s="225">
        <v>2</v>
      </c>
      <c r="G8" s="226">
        <v>0</v>
      </c>
      <c r="H8" s="226">
        <v>0</v>
      </c>
      <c r="I8" s="226">
        <v>0</v>
      </c>
      <c r="J8" s="226">
        <v>0</v>
      </c>
      <c r="K8" s="227">
        <v>0</v>
      </c>
      <c r="L8" s="225">
        <v>10</v>
      </c>
      <c r="M8" s="226">
        <f>'Removals Summary'!K4</f>
        <v>0</v>
      </c>
      <c r="N8" s="226">
        <v>3</v>
      </c>
      <c r="O8" s="226">
        <f>'Removals Summary'!M4</f>
        <v>0</v>
      </c>
      <c r="P8" s="226">
        <f>'Removals Summary'!N4</f>
        <v>0</v>
      </c>
      <c r="Q8" s="227">
        <v>0</v>
      </c>
      <c r="R8" s="78"/>
      <c r="S8" s="78"/>
      <c r="T8" s="268"/>
      <c r="U8" s="269"/>
      <c r="V8" s="86"/>
      <c r="W8" s="87"/>
      <c r="X8" s="86"/>
      <c r="Y8" s="87"/>
      <c r="Z8" s="86"/>
      <c r="AA8" s="87"/>
      <c r="AB8" s="86"/>
      <c r="AC8" s="87"/>
      <c r="AD8" s="86"/>
      <c r="AE8" s="87"/>
      <c r="AF8" s="86"/>
      <c r="AG8" s="88"/>
      <c r="AH8" s="78"/>
    </row>
    <row r="9" spans="1:34">
      <c r="A9" s="357"/>
      <c r="B9" s="326"/>
      <c r="C9" s="288" t="s">
        <v>20</v>
      </c>
      <c r="D9" s="289"/>
      <c r="E9" s="290"/>
      <c r="F9" s="211">
        <v>0</v>
      </c>
      <c r="G9" s="212">
        <v>0</v>
      </c>
      <c r="H9" s="212">
        <v>0</v>
      </c>
      <c r="I9" s="212">
        <v>0</v>
      </c>
      <c r="J9" s="212">
        <v>0</v>
      </c>
      <c r="K9" s="213">
        <v>0</v>
      </c>
      <c r="L9" s="211">
        <v>1</v>
      </c>
      <c r="M9" s="212">
        <f>'Removals Summary'!K5</f>
        <v>0</v>
      </c>
      <c r="N9" s="212">
        <v>2</v>
      </c>
      <c r="O9" s="212">
        <f>'Removals Summary'!M5</f>
        <v>0</v>
      </c>
      <c r="P9" s="212">
        <f>'Removals Summary'!N5</f>
        <v>0</v>
      </c>
      <c r="Q9" s="213">
        <v>1</v>
      </c>
      <c r="R9" s="78"/>
      <c r="S9" s="78"/>
      <c r="T9" s="245"/>
      <c r="U9" s="244"/>
      <c r="V9" s="86"/>
      <c r="W9" s="87"/>
      <c r="X9" s="86"/>
      <c r="Y9" s="87"/>
      <c r="Z9" s="86"/>
      <c r="AA9" s="87"/>
      <c r="AB9" s="86"/>
      <c r="AC9" s="87"/>
      <c r="AD9" s="86"/>
      <c r="AE9" s="87"/>
      <c r="AF9" s="86"/>
      <c r="AG9" s="88"/>
      <c r="AH9" s="78"/>
    </row>
    <row r="10" spans="1:34">
      <c r="A10" s="357"/>
      <c r="B10" s="326"/>
      <c r="C10" s="288" t="s">
        <v>21</v>
      </c>
      <c r="D10" s="289"/>
      <c r="E10" s="290"/>
      <c r="F10" s="211">
        <v>3</v>
      </c>
      <c r="G10" s="212">
        <v>0</v>
      </c>
      <c r="H10" s="212">
        <v>1</v>
      </c>
      <c r="I10" s="212">
        <v>0</v>
      </c>
      <c r="J10" s="212">
        <v>0</v>
      </c>
      <c r="K10" s="213">
        <v>1</v>
      </c>
      <c r="L10" s="211">
        <f>'Removals Summary'!J6</f>
        <v>0</v>
      </c>
      <c r="M10" s="212">
        <f>'Removals Summary'!K6</f>
        <v>0</v>
      </c>
      <c r="N10" s="212">
        <v>0</v>
      </c>
      <c r="O10" s="212">
        <f>'Removals Summary'!M6</f>
        <v>0</v>
      </c>
      <c r="P10" s="212">
        <f>'Removals Summary'!N6</f>
        <v>0</v>
      </c>
      <c r="Q10" s="213">
        <v>0</v>
      </c>
      <c r="R10" s="78"/>
      <c r="S10" s="78"/>
      <c r="T10" s="270"/>
      <c r="U10" s="269"/>
      <c r="V10" s="86"/>
      <c r="W10" s="87"/>
      <c r="X10" s="86"/>
      <c r="Y10" s="87"/>
      <c r="Z10" s="86"/>
      <c r="AA10" s="87"/>
      <c r="AB10" s="86"/>
      <c r="AC10" s="87"/>
      <c r="AD10" s="86"/>
      <c r="AE10" s="87"/>
      <c r="AF10" s="86"/>
      <c r="AG10" s="88"/>
      <c r="AH10" s="78"/>
    </row>
    <row r="11" spans="1:34" ht="15" customHeight="1" thickBot="1">
      <c r="A11" s="357"/>
      <c r="B11" s="326"/>
      <c r="C11" s="288" t="s">
        <v>22</v>
      </c>
      <c r="D11" s="289"/>
      <c r="E11" s="290"/>
      <c r="F11" s="211">
        <v>0</v>
      </c>
      <c r="G11" s="212">
        <v>0</v>
      </c>
      <c r="H11" s="212">
        <v>0</v>
      </c>
      <c r="I11" s="212">
        <v>0</v>
      </c>
      <c r="J11" s="212">
        <v>0</v>
      </c>
      <c r="K11" s="213">
        <v>0</v>
      </c>
      <c r="L11" s="211">
        <f>'Removals Summary'!J7</f>
        <v>0</v>
      </c>
      <c r="M11" s="212">
        <f>'Removals Summary'!K7</f>
        <v>0</v>
      </c>
      <c r="N11" s="212">
        <f>'Removals Summary'!L7</f>
        <v>0</v>
      </c>
      <c r="O11" s="212">
        <f>'Removals Summary'!M7</f>
        <v>0</v>
      </c>
      <c r="P11" s="212">
        <f>'Removals Summary'!N7</f>
        <v>0</v>
      </c>
      <c r="Q11" s="213">
        <f>'Removals Summary'!O7</f>
        <v>0</v>
      </c>
      <c r="R11" s="78"/>
      <c r="S11" s="78"/>
      <c r="T11" s="307"/>
      <c r="U11" s="308"/>
      <c r="V11" s="84"/>
      <c r="W11" s="83"/>
      <c r="X11" s="84"/>
      <c r="Y11" s="83"/>
      <c r="Z11" s="84"/>
      <c r="AA11" s="83"/>
      <c r="AB11" s="84"/>
      <c r="AC11" s="83"/>
      <c r="AD11" s="84"/>
      <c r="AE11" s="83"/>
      <c r="AF11" s="84"/>
      <c r="AG11" s="85"/>
      <c r="AH11" s="78"/>
    </row>
    <row r="12" spans="1:34" ht="15" customHeight="1" thickBot="1">
      <c r="A12" s="357"/>
      <c r="B12" s="326"/>
      <c r="C12" s="288" t="s">
        <v>23</v>
      </c>
      <c r="D12" s="289"/>
      <c r="E12" s="290"/>
      <c r="F12" s="211">
        <v>0</v>
      </c>
      <c r="G12" s="212">
        <v>0</v>
      </c>
      <c r="H12" s="212">
        <v>0</v>
      </c>
      <c r="I12" s="212">
        <v>0</v>
      </c>
      <c r="J12" s="212">
        <v>0</v>
      </c>
      <c r="K12" s="213">
        <v>0</v>
      </c>
      <c r="L12" s="211">
        <v>13</v>
      </c>
      <c r="M12" s="212">
        <f>'Removals Summary'!K8</f>
        <v>0</v>
      </c>
      <c r="N12" s="212">
        <f>'Removals Summary'!L8</f>
        <v>0</v>
      </c>
      <c r="O12" s="212">
        <f>'Removals Summary'!M8</f>
        <v>0</v>
      </c>
      <c r="P12" s="212">
        <f>'Removals Summary'!N8</f>
        <v>0</v>
      </c>
      <c r="Q12" s="213">
        <f>'Removals Summary'!O8</f>
        <v>0</v>
      </c>
      <c r="R12" s="78"/>
      <c r="S12" s="78"/>
      <c r="T12" s="333" t="s">
        <v>24</v>
      </c>
      <c r="U12" s="334"/>
      <c r="V12" s="92">
        <v>6</v>
      </c>
      <c r="W12" s="93">
        <v>1</v>
      </c>
      <c r="X12" s="92">
        <v>1</v>
      </c>
      <c r="Y12" s="93">
        <v>1</v>
      </c>
      <c r="Z12" s="92">
        <v>0</v>
      </c>
      <c r="AA12" s="93">
        <v>0</v>
      </c>
      <c r="AB12" s="92">
        <v>7</v>
      </c>
      <c r="AC12" s="93">
        <v>6</v>
      </c>
      <c r="AD12" s="92">
        <v>0</v>
      </c>
      <c r="AE12" s="93">
        <v>1</v>
      </c>
      <c r="AF12" s="92">
        <v>1</v>
      </c>
      <c r="AG12" s="94">
        <v>3</v>
      </c>
      <c r="AH12" s="78"/>
    </row>
    <row r="13" spans="1:34" ht="12.95" thickBot="1">
      <c r="A13" s="357"/>
      <c r="B13" s="326"/>
      <c r="C13" s="288" t="s">
        <v>25</v>
      </c>
      <c r="D13" s="289"/>
      <c r="E13" s="290"/>
      <c r="F13" s="211">
        <v>0</v>
      </c>
      <c r="G13" s="212">
        <v>0</v>
      </c>
      <c r="H13" s="212">
        <v>0</v>
      </c>
      <c r="I13" s="212">
        <v>0</v>
      </c>
      <c r="J13" s="212">
        <v>0</v>
      </c>
      <c r="K13" s="213">
        <v>0</v>
      </c>
      <c r="L13" s="211">
        <f>'Removals Summary'!J9</f>
        <v>0</v>
      </c>
      <c r="M13" s="212">
        <f>'Removals Summary'!K9</f>
        <v>0</v>
      </c>
      <c r="N13" s="212">
        <v>0</v>
      </c>
      <c r="O13" s="212">
        <f>'Removals Summary'!M9</f>
        <v>0</v>
      </c>
      <c r="P13" s="212">
        <f>'Removals Summary'!N9</f>
        <v>0</v>
      </c>
      <c r="Q13" s="213">
        <v>0</v>
      </c>
      <c r="R13" s="78"/>
      <c r="S13" s="78"/>
      <c r="T13" s="305" t="s">
        <v>24</v>
      </c>
      <c r="U13" s="306"/>
      <c r="V13" s="336">
        <v>9</v>
      </c>
      <c r="W13" s="336"/>
      <c r="X13" s="336"/>
      <c r="Y13" s="336"/>
      <c r="Z13" s="336"/>
      <c r="AA13" s="343"/>
      <c r="AB13" s="335">
        <v>18</v>
      </c>
      <c r="AC13" s="336"/>
      <c r="AD13" s="336"/>
      <c r="AE13" s="336"/>
      <c r="AF13" s="336"/>
      <c r="AG13" s="337"/>
      <c r="AH13" s="78"/>
    </row>
    <row r="14" spans="1:34">
      <c r="A14" s="357"/>
      <c r="B14" s="326"/>
      <c r="C14" s="288" t="s">
        <v>26</v>
      </c>
      <c r="D14" s="289"/>
      <c r="E14" s="290"/>
      <c r="F14" s="211">
        <v>0</v>
      </c>
      <c r="G14" s="212">
        <v>0</v>
      </c>
      <c r="H14" s="212">
        <v>0</v>
      </c>
      <c r="I14" s="212">
        <v>0</v>
      </c>
      <c r="J14" s="212">
        <v>0</v>
      </c>
      <c r="K14" s="213">
        <v>0</v>
      </c>
      <c r="L14" s="211">
        <v>1</v>
      </c>
      <c r="M14" s="212">
        <f>'Removals Summary'!K10</f>
        <v>0</v>
      </c>
      <c r="N14" s="212">
        <v>1</v>
      </c>
      <c r="O14" s="212">
        <f>'Removals Summary'!M10</f>
        <v>0</v>
      </c>
      <c r="P14" s="212">
        <f>'Removals Summary'!N10</f>
        <v>0</v>
      </c>
      <c r="Q14" s="213">
        <f>'Removals Summary'!O10</f>
        <v>0</v>
      </c>
      <c r="R14" s="78"/>
      <c r="S14" s="78"/>
      <c r="T14" s="78"/>
      <c r="U14" s="78"/>
      <c r="V14" s="78"/>
      <c r="W14" s="78"/>
      <c r="X14" s="78"/>
      <c r="Y14" s="78"/>
      <c r="Z14" s="78"/>
      <c r="AA14" s="78"/>
      <c r="AB14" s="78"/>
      <c r="AC14" s="78"/>
      <c r="AD14" s="78"/>
      <c r="AE14" s="78"/>
      <c r="AF14" s="78"/>
      <c r="AG14" s="78"/>
      <c r="AH14" s="78"/>
    </row>
    <row r="15" spans="1:34">
      <c r="A15" s="357"/>
      <c r="B15" s="326"/>
      <c r="C15" s="241" t="s">
        <v>27</v>
      </c>
      <c r="D15" s="242"/>
      <c r="E15" s="243"/>
      <c r="F15" s="211">
        <v>8</v>
      </c>
      <c r="G15" s="212">
        <v>0</v>
      </c>
      <c r="H15" s="212">
        <v>1</v>
      </c>
      <c r="I15" s="212">
        <v>0</v>
      </c>
      <c r="J15" s="212">
        <v>0</v>
      </c>
      <c r="K15" s="213">
        <v>0</v>
      </c>
      <c r="L15" s="211">
        <f>'Removals Summary'!J11</f>
        <v>0</v>
      </c>
      <c r="M15" s="212">
        <f>'Removals Summary'!K11</f>
        <v>0</v>
      </c>
      <c r="N15" s="212">
        <f>'Removals Summary'!L11</f>
        <v>0</v>
      </c>
      <c r="O15" s="212">
        <f>'Removals Summary'!M11</f>
        <v>0</v>
      </c>
      <c r="P15" s="212">
        <f>'Removals Summary'!N11</f>
        <v>0</v>
      </c>
      <c r="Q15" s="213">
        <f>'Removals Summary'!O11</f>
        <v>0</v>
      </c>
      <c r="R15" s="78"/>
      <c r="S15" s="78"/>
      <c r="T15" s="78"/>
      <c r="U15" s="78"/>
      <c r="V15" s="78"/>
      <c r="W15" s="78"/>
      <c r="X15" s="78"/>
      <c r="Y15" s="78"/>
      <c r="Z15" s="78"/>
      <c r="AA15" s="78"/>
      <c r="AB15" s="78"/>
      <c r="AC15" s="78"/>
      <c r="AD15" s="78"/>
      <c r="AE15" s="78"/>
      <c r="AF15" s="78"/>
      <c r="AG15" s="78"/>
      <c r="AH15" s="78"/>
    </row>
    <row r="16" spans="1:34">
      <c r="A16" s="357"/>
      <c r="B16" s="326"/>
      <c r="C16" s="241" t="s">
        <v>28</v>
      </c>
      <c r="D16" s="242"/>
      <c r="E16" s="243"/>
      <c r="F16" s="211">
        <v>0</v>
      </c>
      <c r="G16" s="212">
        <v>0</v>
      </c>
      <c r="H16" s="212">
        <v>0</v>
      </c>
      <c r="I16" s="212">
        <v>0</v>
      </c>
      <c r="J16" s="212">
        <v>0</v>
      </c>
      <c r="K16" s="213">
        <v>0</v>
      </c>
      <c r="L16" s="211">
        <f>'Removals Summary'!J12</f>
        <v>0</v>
      </c>
      <c r="M16" s="212">
        <f>'Removals Summary'!K12</f>
        <v>0</v>
      </c>
      <c r="N16" s="212">
        <f>'Removals Summary'!L12</f>
        <v>0</v>
      </c>
      <c r="O16" s="212">
        <f>'Removals Summary'!M12</f>
        <v>0</v>
      </c>
      <c r="P16" s="212">
        <f>'Removals Summary'!N12</f>
        <v>0</v>
      </c>
      <c r="Q16" s="213">
        <f>'Removals Summary'!O12</f>
        <v>0</v>
      </c>
      <c r="R16" s="78"/>
      <c r="S16" s="78"/>
      <c r="T16" s="78"/>
      <c r="U16" s="78"/>
      <c r="V16" s="78"/>
      <c r="W16" s="78"/>
      <c r="X16" s="78"/>
      <c r="Y16" s="78"/>
      <c r="Z16" s="78"/>
      <c r="AA16" s="78"/>
      <c r="AB16" s="78"/>
      <c r="AC16" s="78"/>
      <c r="AD16" s="78"/>
      <c r="AE16" s="78"/>
      <c r="AF16" s="78"/>
      <c r="AG16" s="78"/>
      <c r="AH16" s="78"/>
    </row>
    <row r="17" spans="1:34" ht="13.15" customHeight="1">
      <c r="A17" s="357"/>
      <c r="B17" s="326"/>
      <c r="C17" s="288" t="s">
        <v>29</v>
      </c>
      <c r="D17" s="289"/>
      <c r="E17" s="290"/>
      <c r="F17" s="211">
        <v>0</v>
      </c>
      <c r="G17" s="212">
        <v>0</v>
      </c>
      <c r="H17" s="212">
        <v>0</v>
      </c>
      <c r="I17" s="212">
        <v>0</v>
      </c>
      <c r="J17" s="212">
        <v>0</v>
      </c>
      <c r="K17" s="213">
        <v>0</v>
      </c>
      <c r="L17" s="211">
        <f>'Removals Summary'!J13</f>
        <v>0</v>
      </c>
      <c r="M17" s="212">
        <f>'Removals Summary'!K13</f>
        <v>0</v>
      </c>
      <c r="N17" s="212">
        <f>'Removals Summary'!L13</f>
        <v>0</v>
      </c>
      <c r="O17" s="212">
        <f>'Removals Summary'!M13</f>
        <v>0</v>
      </c>
      <c r="P17" s="212">
        <f>'Removals Summary'!N13</f>
        <v>0</v>
      </c>
      <c r="Q17" s="213">
        <f>'Removals Summary'!O13</f>
        <v>0</v>
      </c>
      <c r="R17" s="78"/>
      <c r="S17" s="78"/>
      <c r="T17" s="264" t="s">
        <v>30</v>
      </c>
      <c r="U17" s="264"/>
      <c r="V17" s="264"/>
      <c r="W17" s="264"/>
      <c r="X17" s="264"/>
      <c r="Y17" s="264"/>
      <c r="Z17" s="264"/>
      <c r="AA17" s="264"/>
      <c r="AB17" s="264"/>
      <c r="AC17" s="264"/>
      <c r="AD17" s="264"/>
      <c r="AE17" s="264"/>
      <c r="AF17" s="264"/>
      <c r="AG17" s="264"/>
      <c r="AH17" s="78"/>
    </row>
    <row r="18" spans="1:34">
      <c r="A18" s="357"/>
      <c r="B18" s="326"/>
      <c r="C18" s="288" t="s">
        <v>31</v>
      </c>
      <c r="D18" s="289"/>
      <c r="E18" s="290"/>
      <c r="F18" s="211">
        <v>0</v>
      </c>
      <c r="G18" s="212">
        <v>0</v>
      </c>
      <c r="H18" s="212">
        <v>0</v>
      </c>
      <c r="I18" s="212">
        <v>0</v>
      </c>
      <c r="J18" s="212">
        <v>0</v>
      </c>
      <c r="K18" s="213">
        <v>0</v>
      </c>
      <c r="L18" s="211">
        <v>0</v>
      </c>
      <c r="M18" s="212">
        <f>'Removals Summary'!K14</f>
        <v>0</v>
      </c>
      <c r="N18" s="212">
        <f>'Removals Summary'!L14</f>
        <v>0</v>
      </c>
      <c r="O18" s="212">
        <f>'Removals Summary'!M14</f>
        <v>0</v>
      </c>
      <c r="P18" s="212">
        <f>'Removals Summary'!N14</f>
        <v>0</v>
      </c>
      <c r="Q18" s="213">
        <f>'Removals Summary'!O14</f>
        <v>0</v>
      </c>
      <c r="R18" s="78"/>
      <c r="S18" s="78"/>
      <c r="T18" s="264"/>
      <c r="U18" s="264"/>
      <c r="V18" s="264"/>
      <c r="W18" s="264"/>
      <c r="X18" s="264"/>
      <c r="Y18" s="264"/>
      <c r="Z18" s="264"/>
      <c r="AA18" s="264"/>
      <c r="AB18" s="264"/>
      <c r="AC18" s="264"/>
      <c r="AD18" s="264"/>
      <c r="AE18" s="264"/>
      <c r="AF18" s="264"/>
      <c r="AG18" s="264"/>
      <c r="AH18" s="78"/>
    </row>
    <row r="19" spans="1:34" ht="12.95" thickBot="1">
      <c r="A19" s="357"/>
      <c r="B19" s="326"/>
      <c r="C19" s="288" t="s">
        <v>32</v>
      </c>
      <c r="D19" s="289"/>
      <c r="E19" s="290"/>
      <c r="F19" s="211">
        <v>0</v>
      </c>
      <c r="G19" s="212">
        <v>0</v>
      </c>
      <c r="H19" s="212">
        <v>0</v>
      </c>
      <c r="I19" s="212">
        <v>0</v>
      </c>
      <c r="J19" s="212">
        <v>0</v>
      </c>
      <c r="K19" s="213">
        <v>0</v>
      </c>
      <c r="L19" s="211">
        <f>'Removals Summary'!J15</f>
        <v>0</v>
      </c>
      <c r="M19" s="212">
        <f>'Removals Summary'!K15</f>
        <v>0</v>
      </c>
      <c r="N19" s="212">
        <f>'Removals Summary'!L15</f>
        <v>0</v>
      </c>
      <c r="O19" s="212">
        <f>'Removals Summary'!M15</f>
        <v>0</v>
      </c>
      <c r="P19" s="212">
        <v>0</v>
      </c>
      <c r="Q19" s="213">
        <f>'Removals Summary'!O15</f>
        <v>0</v>
      </c>
      <c r="R19" s="78"/>
      <c r="S19" s="78"/>
      <c r="T19" s="264"/>
      <c r="U19" s="264"/>
      <c r="V19" s="264"/>
      <c r="W19" s="264"/>
      <c r="X19" s="264"/>
      <c r="Y19" s="264"/>
      <c r="Z19" s="264"/>
      <c r="AA19" s="264"/>
      <c r="AB19" s="264"/>
      <c r="AC19" s="264"/>
      <c r="AD19" s="264"/>
      <c r="AE19" s="264"/>
      <c r="AF19" s="264"/>
      <c r="AG19" s="264"/>
      <c r="AH19" s="78"/>
    </row>
    <row r="20" spans="1:34" ht="14.45" customHeight="1" thickBot="1">
      <c r="A20" s="356" t="s">
        <v>33</v>
      </c>
      <c r="B20" s="291" t="s">
        <v>34</v>
      </c>
      <c r="C20" s="279" t="s">
        <v>35</v>
      </c>
      <c r="D20" s="280"/>
      <c r="E20" s="281"/>
      <c r="F20" s="214">
        <f>'Removals Summary'!D16</f>
        <v>5</v>
      </c>
      <c r="G20" s="215">
        <f>'Removals Summary'!E16</f>
        <v>1</v>
      </c>
      <c r="H20" s="215">
        <f>'Removals Summary'!F16</f>
        <v>7</v>
      </c>
      <c r="I20" s="215">
        <f>'Removals Summary'!G16</f>
        <v>0</v>
      </c>
      <c r="J20" s="215">
        <f>'Removals Summary'!H16</f>
        <v>0</v>
      </c>
      <c r="K20" s="216">
        <f>'Removals Summary'!I16</f>
        <v>1</v>
      </c>
      <c r="L20" s="215">
        <f>'Removals Summary'!J16</f>
        <v>0</v>
      </c>
      <c r="M20" s="215">
        <f>'Removals Summary'!K16</f>
        <v>0</v>
      </c>
      <c r="N20" s="215">
        <f>'Removals Summary'!L16</f>
        <v>0</v>
      </c>
      <c r="O20" s="215">
        <f>'Removals Summary'!M16</f>
        <v>0</v>
      </c>
      <c r="P20" s="215">
        <f>'Removals Summary'!N16</f>
        <v>0</v>
      </c>
      <c r="Q20" s="216">
        <f>'Removals Summary'!O16</f>
        <v>0</v>
      </c>
      <c r="R20" s="78"/>
      <c r="S20" s="78"/>
      <c r="T20" s="265"/>
      <c r="U20" s="265"/>
      <c r="V20" s="265"/>
      <c r="W20" s="265"/>
      <c r="X20" s="265"/>
      <c r="Y20" s="265"/>
      <c r="Z20" s="265"/>
      <c r="AA20" s="265"/>
      <c r="AB20" s="265"/>
      <c r="AC20" s="265"/>
      <c r="AD20" s="265"/>
      <c r="AE20" s="265"/>
      <c r="AF20" s="265"/>
      <c r="AG20" s="265"/>
      <c r="AH20" s="78"/>
    </row>
    <row r="21" spans="1:34" ht="13.9" customHeight="1">
      <c r="A21" s="356"/>
      <c r="B21" s="292"/>
      <c r="C21" s="282" t="s">
        <v>36</v>
      </c>
      <c r="D21" s="283"/>
      <c r="E21" s="284"/>
      <c r="F21" s="217">
        <f>'Removals Summary'!D18</f>
        <v>1</v>
      </c>
      <c r="G21" s="218">
        <f>'Removals Summary'!E18</f>
        <v>0</v>
      </c>
      <c r="H21" s="218">
        <f>'Removals Summary'!F18</f>
        <v>0</v>
      </c>
      <c r="I21" s="218">
        <f>'Removals Summary'!G18</f>
        <v>0</v>
      </c>
      <c r="J21" s="218">
        <f>'Removals Summary'!H18</f>
        <v>0</v>
      </c>
      <c r="K21" s="219">
        <f>'Removals Summary'!I18</f>
        <v>0</v>
      </c>
      <c r="L21" s="218">
        <f>'Removals Summary'!J18</f>
        <v>0</v>
      </c>
      <c r="M21" s="218">
        <f>'Removals Summary'!K18</f>
        <v>0</v>
      </c>
      <c r="N21" s="218">
        <f>'Removals Summary'!L18</f>
        <v>0</v>
      </c>
      <c r="O21" s="218">
        <f>'Removals Summary'!M18</f>
        <v>0</v>
      </c>
      <c r="P21" s="218">
        <f>'Removals Summary'!N18</f>
        <v>0</v>
      </c>
      <c r="Q21" s="219">
        <f>'Removals Summary'!O18</f>
        <v>0</v>
      </c>
      <c r="R21" s="78"/>
      <c r="S21" s="78"/>
      <c r="T21" s="368" t="s">
        <v>2</v>
      </c>
      <c r="U21" s="344"/>
      <c r="V21" s="294" t="s">
        <v>37</v>
      </c>
      <c r="W21" s="294"/>
      <c r="X21" s="294" t="s">
        <v>38</v>
      </c>
      <c r="Y21" s="294"/>
      <c r="Z21" s="294" t="s">
        <v>39</v>
      </c>
      <c r="AA21" s="294"/>
      <c r="AB21" s="294" t="s">
        <v>40</v>
      </c>
      <c r="AC21" s="294"/>
      <c r="AD21" s="294" t="s">
        <v>41</v>
      </c>
      <c r="AE21" s="294"/>
      <c r="AF21" s="344" t="s">
        <v>24</v>
      </c>
      <c r="AG21" s="345"/>
      <c r="AH21" s="78"/>
    </row>
    <row r="22" spans="1:34" ht="15" customHeight="1">
      <c r="A22" s="356"/>
      <c r="B22" s="293"/>
      <c r="C22" s="330" t="s">
        <v>42</v>
      </c>
      <c r="D22" s="331"/>
      <c r="E22" s="332"/>
      <c r="F22" s="228">
        <f>'Removals Summary'!D19</f>
        <v>0</v>
      </c>
      <c r="G22" s="229">
        <f>'Removals Summary'!E19</f>
        <v>0</v>
      </c>
      <c r="H22" s="229">
        <f>'Removals Summary'!F19</f>
        <v>0</v>
      </c>
      <c r="I22" s="229">
        <f>'Removals Summary'!G19</f>
        <v>0</v>
      </c>
      <c r="J22" s="229">
        <f>'Removals Summary'!H19</f>
        <v>0</v>
      </c>
      <c r="K22" s="230">
        <f>'Removals Summary'!I19</f>
        <v>0</v>
      </c>
      <c r="L22" s="229">
        <f>'Removals Summary'!J19</f>
        <v>0</v>
      </c>
      <c r="M22" s="229">
        <f>'Removals Summary'!K19</f>
        <v>0</v>
      </c>
      <c r="N22" s="229">
        <f>'Removals Summary'!L19</f>
        <v>0</v>
      </c>
      <c r="O22" s="229">
        <f>'Removals Summary'!M19</f>
        <v>0</v>
      </c>
      <c r="P22" s="229">
        <f>'Removals Summary'!N19</f>
        <v>0</v>
      </c>
      <c r="Q22" s="230">
        <f>'Removals Summary'!O19</f>
        <v>0</v>
      </c>
      <c r="R22" s="78"/>
      <c r="S22" s="78"/>
      <c r="T22" s="369"/>
      <c r="U22" s="346"/>
      <c r="V22" s="295"/>
      <c r="W22" s="295"/>
      <c r="X22" s="295"/>
      <c r="Y22" s="295"/>
      <c r="Z22" s="295"/>
      <c r="AA22" s="295"/>
      <c r="AB22" s="295"/>
      <c r="AC22" s="295"/>
      <c r="AD22" s="295"/>
      <c r="AE22" s="295"/>
      <c r="AF22" s="346"/>
      <c r="AG22" s="347"/>
      <c r="AH22" s="78"/>
    </row>
    <row r="23" spans="1:34">
      <c r="A23" s="356"/>
      <c r="B23" s="234" t="s">
        <v>43</v>
      </c>
      <c r="C23" s="350" t="s">
        <v>44</v>
      </c>
      <c r="D23" s="351"/>
      <c r="E23" s="352"/>
      <c r="F23" s="231">
        <f>'Removals Summary'!D17</f>
        <v>0</v>
      </c>
      <c r="G23" s="232">
        <f>'Removals Summary'!E17</f>
        <v>1</v>
      </c>
      <c r="H23" s="232">
        <f>'Removals Summary'!F17</f>
        <v>0</v>
      </c>
      <c r="I23" s="232">
        <f>'Removals Summary'!G17</f>
        <v>1</v>
      </c>
      <c r="J23" s="232">
        <f>'Removals Summary'!H17</f>
        <v>0</v>
      </c>
      <c r="K23" s="233">
        <f>'Removals Summary'!I17</f>
        <v>3</v>
      </c>
      <c r="L23" s="232">
        <v>0</v>
      </c>
      <c r="M23" s="232">
        <v>0</v>
      </c>
      <c r="N23" s="232">
        <v>0</v>
      </c>
      <c r="O23" s="232">
        <v>0</v>
      </c>
      <c r="P23" s="232">
        <v>0</v>
      </c>
      <c r="Q23" s="233">
        <v>0</v>
      </c>
      <c r="R23" s="78"/>
      <c r="S23" s="78"/>
      <c r="T23" s="369"/>
      <c r="U23" s="346"/>
      <c r="V23" s="295"/>
      <c r="W23" s="295"/>
      <c r="X23" s="295"/>
      <c r="Y23" s="295"/>
      <c r="Z23" s="295"/>
      <c r="AA23" s="295"/>
      <c r="AB23" s="295"/>
      <c r="AC23" s="295"/>
      <c r="AD23" s="295"/>
      <c r="AE23" s="295"/>
      <c r="AF23" s="346"/>
      <c r="AG23" s="347"/>
      <c r="AH23" s="78"/>
    </row>
    <row r="24" spans="1:34">
      <c r="A24" s="356"/>
      <c r="B24" s="292" t="s">
        <v>45</v>
      </c>
      <c r="C24" s="362" t="s">
        <v>46</v>
      </c>
      <c r="D24" s="363"/>
      <c r="E24" s="364"/>
      <c r="F24" s="217">
        <f>'Removals Summary'!D20</f>
        <v>0</v>
      </c>
      <c r="G24" s="218">
        <f>'Removals Summary'!E20</f>
        <v>0</v>
      </c>
      <c r="H24" s="218">
        <f>'Removals Summary'!F20</f>
        <v>0</v>
      </c>
      <c r="I24" s="218">
        <f>'Removals Summary'!G20</f>
        <v>0</v>
      </c>
      <c r="J24" s="218">
        <f>'Removals Summary'!H20</f>
        <v>0</v>
      </c>
      <c r="K24" s="219">
        <f>'Removals Summary'!I20</f>
        <v>0</v>
      </c>
      <c r="L24" s="218">
        <f>'Removals Summary'!J20</f>
        <v>0</v>
      </c>
      <c r="M24" s="218">
        <f>'Removals Summary'!K20</f>
        <v>0</v>
      </c>
      <c r="N24" s="218">
        <f>'Removals Summary'!L20</f>
        <v>0</v>
      </c>
      <c r="O24" s="218">
        <f>'Removals Summary'!M20</f>
        <v>0</v>
      </c>
      <c r="P24" s="218">
        <f>'Removals Summary'!N20</f>
        <v>0</v>
      </c>
      <c r="Q24" s="219">
        <f>'Removals Summary'!O20</f>
        <v>0</v>
      </c>
      <c r="R24" s="78"/>
      <c r="S24" s="78"/>
      <c r="T24" s="369"/>
      <c r="U24" s="346"/>
      <c r="V24" s="295"/>
      <c r="W24" s="295"/>
      <c r="X24" s="295"/>
      <c r="Y24" s="295"/>
      <c r="Z24" s="295"/>
      <c r="AA24" s="295"/>
      <c r="AB24" s="295"/>
      <c r="AC24" s="295"/>
      <c r="AD24" s="295"/>
      <c r="AE24" s="295"/>
      <c r="AF24" s="346"/>
      <c r="AG24" s="347"/>
      <c r="AH24" s="78"/>
    </row>
    <row r="25" spans="1:34">
      <c r="A25" s="356"/>
      <c r="B25" s="292"/>
      <c r="C25" s="237" t="s">
        <v>47</v>
      </c>
      <c r="D25" s="238"/>
      <c r="E25" s="239"/>
      <c r="F25" s="217">
        <f>SUM('Removals Summary'!D22,'Removals Summary'!D23)</f>
        <v>0</v>
      </c>
      <c r="G25" s="218">
        <f>SUM('Removals Summary'!E22,'Removals Summary'!E23)</f>
        <v>0</v>
      </c>
      <c r="H25" s="218">
        <f>SUM('Removals Summary'!F22,'Removals Summary'!F23)</f>
        <v>0</v>
      </c>
      <c r="I25" s="218">
        <f>SUM('Removals Summary'!G22,'Removals Summary'!G23)</f>
        <v>0</v>
      </c>
      <c r="J25" s="218">
        <f>SUM('Removals Summary'!H22,'Removals Summary'!H23)</f>
        <v>0</v>
      </c>
      <c r="K25" s="219">
        <f>SUM('Removals Summary'!I22,'Removals Summary'!I23)</f>
        <v>0</v>
      </c>
      <c r="L25" s="218">
        <f>'Removals Summary'!J21</f>
        <v>0</v>
      </c>
      <c r="M25" s="218">
        <f>'Removals Summary'!K21</f>
        <v>0</v>
      </c>
      <c r="N25" s="218">
        <f>'Removals Summary'!L21</f>
        <v>0</v>
      </c>
      <c r="O25" s="218">
        <f>'Removals Summary'!M21</f>
        <v>0</v>
      </c>
      <c r="P25" s="218">
        <f>'Removals Summary'!N21</f>
        <v>0</v>
      </c>
      <c r="Q25" s="219">
        <f>'Removals Summary'!O21</f>
        <v>0</v>
      </c>
      <c r="R25" s="78"/>
      <c r="S25" s="78"/>
      <c r="T25" s="369"/>
      <c r="U25" s="346"/>
      <c r="V25" s="295"/>
      <c r="W25" s="295"/>
      <c r="X25" s="295"/>
      <c r="Y25" s="295"/>
      <c r="Z25" s="295"/>
      <c r="AA25" s="295"/>
      <c r="AB25" s="295"/>
      <c r="AC25" s="295"/>
      <c r="AD25" s="295"/>
      <c r="AE25" s="295"/>
      <c r="AF25" s="346"/>
      <c r="AG25" s="347"/>
      <c r="AH25" s="78"/>
    </row>
    <row r="26" spans="1:34" ht="12.95" thickBot="1">
      <c r="A26" s="356"/>
      <c r="B26" s="358"/>
      <c r="C26" s="365" t="s">
        <v>48</v>
      </c>
      <c r="D26" s="366"/>
      <c r="E26" s="367"/>
      <c r="F26" s="220">
        <f>'Removals Summary'!D21</f>
        <v>1</v>
      </c>
      <c r="G26" s="221">
        <f>'Removals Summary'!E21</f>
        <v>0</v>
      </c>
      <c r="H26" s="221">
        <f>'Removals Summary'!F21</f>
        <v>8</v>
      </c>
      <c r="I26" s="221">
        <f>'Removals Summary'!G21</f>
        <v>0</v>
      </c>
      <c r="J26" s="221">
        <f>'Removals Summary'!H21</f>
        <v>0</v>
      </c>
      <c r="K26" s="222">
        <f>'Removals Summary'!I21</f>
        <v>0</v>
      </c>
      <c r="L26" s="221">
        <f>'Removals Summary'!J23</f>
        <v>0</v>
      </c>
      <c r="M26" s="221">
        <f>'Removals Summary'!K23</f>
        <v>0</v>
      </c>
      <c r="N26" s="221">
        <f>'Removals Summary'!L23</f>
        <v>0</v>
      </c>
      <c r="O26" s="221">
        <f>'Removals Summary'!M23</f>
        <v>0</v>
      </c>
      <c r="P26" s="221">
        <f>'Removals Summary'!N23</f>
        <v>0</v>
      </c>
      <c r="Q26" s="222">
        <f>'Removals Summary'!O23</f>
        <v>0</v>
      </c>
      <c r="R26" s="78"/>
      <c r="S26" s="78"/>
      <c r="T26" s="369"/>
      <c r="U26" s="346"/>
      <c r="V26" s="295"/>
      <c r="W26" s="295"/>
      <c r="X26" s="295"/>
      <c r="Y26" s="295"/>
      <c r="Z26" s="295"/>
      <c r="AA26" s="295"/>
      <c r="AB26" s="295"/>
      <c r="AC26" s="295"/>
      <c r="AD26" s="295"/>
      <c r="AE26" s="295"/>
      <c r="AF26" s="346"/>
      <c r="AG26" s="347"/>
      <c r="AH26" s="78"/>
    </row>
    <row r="27" spans="1:34" ht="15" customHeight="1">
      <c r="A27" s="78"/>
      <c r="B27" s="277" t="s">
        <v>49</v>
      </c>
      <c r="C27" s="279" t="s">
        <v>18</v>
      </c>
      <c r="D27" s="280"/>
      <c r="E27" s="281"/>
      <c r="F27" s="214">
        <f t="shared" ref="F27:Q27" si="0">SUM(F8:F19)</f>
        <v>13</v>
      </c>
      <c r="G27" s="215">
        <f t="shared" si="0"/>
        <v>0</v>
      </c>
      <c r="H27" s="215">
        <f t="shared" si="0"/>
        <v>2</v>
      </c>
      <c r="I27" s="215">
        <f t="shared" si="0"/>
        <v>0</v>
      </c>
      <c r="J27" s="215">
        <f t="shared" si="0"/>
        <v>0</v>
      </c>
      <c r="K27" s="216">
        <f t="shared" si="0"/>
        <v>1</v>
      </c>
      <c r="L27" s="214">
        <f t="shared" si="0"/>
        <v>25</v>
      </c>
      <c r="M27" s="215">
        <f t="shared" si="0"/>
        <v>0</v>
      </c>
      <c r="N27" s="215">
        <f t="shared" si="0"/>
        <v>6</v>
      </c>
      <c r="O27" s="215">
        <f t="shared" si="0"/>
        <v>0</v>
      </c>
      <c r="P27" s="215">
        <f t="shared" si="0"/>
        <v>0</v>
      </c>
      <c r="Q27" s="216">
        <f t="shared" si="0"/>
        <v>1</v>
      </c>
      <c r="R27" s="78"/>
      <c r="S27" s="78"/>
      <c r="T27" s="370"/>
      <c r="U27" s="348"/>
      <c r="V27" s="296"/>
      <c r="W27" s="296"/>
      <c r="X27" s="296"/>
      <c r="Y27" s="296"/>
      <c r="Z27" s="296"/>
      <c r="AA27" s="296"/>
      <c r="AB27" s="296"/>
      <c r="AC27" s="296"/>
      <c r="AD27" s="296"/>
      <c r="AE27" s="296"/>
      <c r="AF27" s="348"/>
      <c r="AG27" s="349"/>
      <c r="AH27" s="78"/>
    </row>
    <row r="28" spans="1:34">
      <c r="A28" s="78"/>
      <c r="B28" s="277"/>
      <c r="C28" s="282" t="s">
        <v>34</v>
      </c>
      <c r="D28" s="283"/>
      <c r="E28" s="284"/>
      <c r="F28" s="217">
        <f t="shared" ref="F28:Q28" si="1">SUM(F20:F22)</f>
        <v>6</v>
      </c>
      <c r="G28" s="218">
        <f t="shared" si="1"/>
        <v>1</v>
      </c>
      <c r="H28" s="218">
        <f t="shared" si="1"/>
        <v>7</v>
      </c>
      <c r="I28" s="218">
        <f t="shared" si="1"/>
        <v>0</v>
      </c>
      <c r="J28" s="218">
        <f t="shared" si="1"/>
        <v>0</v>
      </c>
      <c r="K28" s="219">
        <f t="shared" si="1"/>
        <v>1</v>
      </c>
      <c r="L28" s="217">
        <f t="shared" si="1"/>
        <v>0</v>
      </c>
      <c r="M28" s="218">
        <f t="shared" si="1"/>
        <v>0</v>
      </c>
      <c r="N28" s="218">
        <f t="shared" si="1"/>
        <v>0</v>
      </c>
      <c r="O28" s="218">
        <f t="shared" si="1"/>
        <v>0</v>
      </c>
      <c r="P28" s="218">
        <f t="shared" si="1"/>
        <v>0</v>
      </c>
      <c r="Q28" s="219">
        <f t="shared" si="1"/>
        <v>0</v>
      </c>
      <c r="R28" s="78"/>
      <c r="S28" s="78"/>
      <c r="T28" s="257">
        <f>IF('Gardiner Basin Counts'!A3&lt;&gt;"",'Gardiner Basin Counts'!A3,"")</f>
        <v>45299</v>
      </c>
      <c r="U28" s="258"/>
      <c r="V28" s="259">
        <f>IF('Gardiner Basin Counts'!B3&lt;&gt;"",'Gardiner Basin Counts'!B3,"")</f>
        <v>0</v>
      </c>
      <c r="W28" s="259"/>
      <c r="X28" s="259">
        <f>IF('Gardiner Basin Counts'!C3&lt;&gt;"",'Gardiner Basin Counts'!C3,"")</f>
        <v>0</v>
      </c>
      <c r="Y28" s="259"/>
      <c r="Z28" s="259">
        <f>IF('Gardiner Basin Counts'!D3&lt;&gt;"",'Gardiner Basin Counts'!D3,"")</f>
        <v>0</v>
      </c>
      <c r="AA28" s="259"/>
      <c r="AB28" s="259">
        <f>IF('Gardiner Basin Counts'!E3&lt;&gt;"",'Gardiner Basin Counts'!E3,"")</f>
        <v>0</v>
      </c>
      <c r="AC28" s="259"/>
      <c r="AD28" s="259">
        <f>IF('Gardiner Basin Counts'!F3&lt;&gt;"",'Gardiner Basin Counts'!F3,"")</f>
        <v>0</v>
      </c>
      <c r="AE28" s="259"/>
      <c r="AF28" s="259">
        <f>IF('Gardiner Basin Counts'!G3&lt;&gt;"",'Gardiner Basin Counts'!G3,"")</f>
        <v>0</v>
      </c>
      <c r="AG28" s="260"/>
      <c r="AH28" s="78"/>
    </row>
    <row r="29" spans="1:34" ht="15" customHeight="1">
      <c r="A29" s="78"/>
      <c r="B29" s="277"/>
      <c r="C29" s="359" t="s">
        <v>43</v>
      </c>
      <c r="D29" s="360"/>
      <c r="E29" s="361"/>
      <c r="F29" s="228">
        <f>F23</f>
        <v>0</v>
      </c>
      <c r="G29" s="229">
        <f t="shared" ref="G29:Q29" si="2">G23</f>
        <v>1</v>
      </c>
      <c r="H29" s="229">
        <f t="shared" si="2"/>
        <v>0</v>
      </c>
      <c r="I29" s="229">
        <f t="shared" si="2"/>
        <v>1</v>
      </c>
      <c r="J29" s="229">
        <f t="shared" si="2"/>
        <v>0</v>
      </c>
      <c r="K29" s="230">
        <f t="shared" si="2"/>
        <v>3</v>
      </c>
      <c r="L29" s="228">
        <f>L23</f>
        <v>0</v>
      </c>
      <c r="M29" s="229">
        <f t="shared" si="2"/>
        <v>0</v>
      </c>
      <c r="N29" s="229">
        <f t="shared" si="2"/>
        <v>0</v>
      </c>
      <c r="O29" s="229">
        <f t="shared" si="2"/>
        <v>0</v>
      </c>
      <c r="P29" s="229">
        <f t="shared" si="2"/>
        <v>0</v>
      </c>
      <c r="Q29" s="230">
        <f t="shared" si="2"/>
        <v>0</v>
      </c>
      <c r="R29" s="78"/>
      <c r="S29" s="78"/>
      <c r="T29" s="257">
        <f>IF('Gardiner Basin Counts'!A4&lt;&gt;"",'Gardiner Basin Counts'!A4,"")</f>
        <v>45307</v>
      </c>
      <c r="U29" s="258"/>
      <c r="V29" s="259">
        <f>IF('Gardiner Basin Counts'!B4&lt;&gt;"",'Gardiner Basin Counts'!B4,"")</f>
        <v>0</v>
      </c>
      <c r="W29" s="259"/>
      <c r="X29" s="259">
        <f>IF('Gardiner Basin Counts'!C4&lt;&gt;"",'Gardiner Basin Counts'!C4,"")</f>
        <v>0</v>
      </c>
      <c r="Y29" s="259"/>
      <c r="Z29" s="259">
        <f>IF('Gardiner Basin Counts'!D4&lt;&gt;"",'Gardiner Basin Counts'!D4,"")</f>
        <v>0</v>
      </c>
      <c r="AA29" s="259"/>
      <c r="AB29" s="259">
        <f>IF('Gardiner Basin Counts'!E4&lt;&gt;"",'Gardiner Basin Counts'!E4,"")</f>
        <v>0</v>
      </c>
      <c r="AC29" s="259"/>
      <c r="AD29" s="259">
        <f>IF('Gardiner Basin Counts'!F4&lt;&gt;"",'Gardiner Basin Counts'!F4,"")</f>
        <v>0</v>
      </c>
      <c r="AE29" s="259"/>
      <c r="AF29" s="259">
        <f>IF('Gardiner Basin Counts'!G4&lt;&gt;"",'Gardiner Basin Counts'!G4,"")</f>
        <v>0</v>
      </c>
      <c r="AG29" s="260"/>
      <c r="AH29" s="78"/>
    </row>
    <row r="30" spans="1:34">
      <c r="A30" s="78"/>
      <c r="B30" s="277"/>
      <c r="C30" s="285" t="s">
        <v>50</v>
      </c>
      <c r="D30" s="286"/>
      <c r="E30" s="287"/>
      <c r="F30" s="217">
        <f>SUM(F27:F29)</f>
        <v>19</v>
      </c>
      <c r="G30" s="218">
        <f t="shared" ref="G30:Q30" si="3">SUM(G27:G29)</f>
        <v>2</v>
      </c>
      <c r="H30" s="218">
        <f t="shared" si="3"/>
        <v>9</v>
      </c>
      <c r="I30" s="218">
        <f t="shared" si="3"/>
        <v>1</v>
      </c>
      <c r="J30" s="218">
        <f t="shared" si="3"/>
        <v>0</v>
      </c>
      <c r="K30" s="219">
        <f t="shared" si="3"/>
        <v>5</v>
      </c>
      <c r="L30" s="217">
        <f t="shared" si="3"/>
        <v>25</v>
      </c>
      <c r="M30" s="218">
        <f t="shared" si="3"/>
        <v>0</v>
      </c>
      <c r="N30" s="218">
        <f t="shared" si="3"/>
        <v>6</v>
      </c>
      <c r="O30" s="218">
        <f t="shared" si="3"/>
        <v>0</v>
      </c>
      <c r="P30" s="218">
        <f t="shared" si="3"/>
        <v>0</v>
      </c>
      <c r="Q30" s="219">
        <f t="shared" si="3"/>
        <v>1</v>
      </c>
      <c r="R30" s="78"/>
      <c r="S30" s="78"/>
      <c r="T30" s="257">
        <f>IF('Gardiner Basin Counts'!A5&lt;&gt;"",'Gardiner Basin Counts'!A5,"")</f>
        <v>45313</v>
      </c>
      <c r="U30" s="258"/>
      <c r="V30" s="259">
        <f>IF('Gardiner Basin Counts'!B5&lt;&gt;"",'Gardiner Basin Counts'!B5,"")</f>
        <v>0</v>
      </c>
      <c r="W30" s="259"/>
      <c r="X30" s="259">
        <f>IF('Gardiner Basin Counts'!C5&lt;&gt;"",'Gardiner Basin Counts'!C5,"")</f>
        <v>0</v>
      </c>
      <c r="Y30" s="259"/>
      <c r="Z30" s="259">
        <f>IF('Gardiner Basin Counts'!D5&lt;&gt;"",'Gardiner Basin Counts'!D5,"")</f>
        <v>0</v>
      </c>
      <c r="AA30" s="259"/>
      <c r="AB30" s="259">
        <f>IF('Gardiner Basin Counts'!E5&lt;&gt;"",'Gardiner Basin Counts'!E5,"")</f>
        <v>0</v>
      </c>
      <c r="AC30" s="259"/>
      <c r="AD30" s="259">
        <f>IF('Gardiner Basin Counts'!F5&lt;&gt;"",'Gardiner Basin Counts'!F5,"")</f>
        <v>0</v>
      </c>
      <c r="AE30" s="259"/>
      <c r="AF30" s="259">
        <f>IF('Gardiner Basin Counts'!G5&lt;&gt;"",'Gardiner Basin Counts'!G5,"")</f>
        <v>0</v>
      </c>
      <c r="AG30" s="260"/>
      <c r="AH30" s="78"/>
    </row>
    <row r="31" spans="1:34" ht="12.95" thickBot="1">
      <c r="A31" s="78"/>
      <c r="B31" s="278"/>
      <c r="C31" s="223"/>
      <c r="D31" s="224"/>
      <c r="E31" s="235"/>
      <c r="F31" s="274">
        <f>SUM(F30:K30)</f>
        <v>36</v>
      </c>
      <c r="G31" s="275"/>
      <c r="H31" s="275"/>
      <c r="I31" s="275"/>
      <c r="J31" s="275"/>
      <c r="K31" s="276"/>
      <c r="L31" s="274">
        <f>SUM(L30:Q30)</f>
        <v>32</v>
      </c>
      <c r="M31" s="275"/>
      <c r="N31" s="275"/>
      <c r="O31" s="275"/>
      <c r="P31" s="275"/>
      <c r="Q31" s="276"/>
      <c r="R31" s="78"/>
      <c r="S31" s="78"/>
      <c r="T31" s="257">
        <f>IF('Gardiner Basin Counts'!A6&lt;&gt;"",'Gardiner Basin Counts'!A6,"")</f>
        <v>45320</v>
      </c>
      <c r="U31" s="258"/>
      <c r="V31" s="259">
        <f>IF('Gardiner Basin Counts'!B6&lt;&gt;"",'Gardiner Basin Counts'!B6,"")</f>
        <v>0</v>
      </c>
      <c r="W31" s="259"/>
      <c r="X31" s="259">
        <f>IF('Gardiner Basin Counts'!C6&lt;&gt;"",'Gardiner Basin Counts'!C6,"")</f>
        <v>0</v>
      </c>
      <c r="Y31" s="259"/>
      <c r="Z31" s="259">
        <f>IF('Gardiner Basin Counts'!D6&lt;&gt;"",'Gardiner Basin Counts'!D6,"")</f>
        <v>0</v>
      </c>
      <c r="AA31" s="259"/>
      <c r="AB31" s="259">
        <f>IF('Gardiner Basin Counts'!E6&lt;&gt;"",'Gardiner Basin Counts'!E6,"")</f>
        <v>0</v>
      </c>
      <c r="AC31" s="259"/>
      <c r="AD31" s="259">
        <f>IF('Gardiner Basin Counts'!F6&lt;&gt;"",'Gardiner Basin Counts'!F6,"")</f>
        <v>0</v>
      </c>
      <c r="AE31" s="259"/>
      <c r="AF31" s="259">
        <f>IF('Gardiner Basin Counts'!G6&lt;&gt;"",'Gardiner Basin Counts'!G6,"")</f>
        <v>0</v>
      </c>
      <c r="AG31" s="260"/>
      <c r="AH31" s="78"/>
    </row>
    <row r="32" spans="1:34" ht="12.95" thickBot="1">
      <c r="A32" s="95"/>
      <c r="B32" s="78"/>
      <c r="C32" s="100"/>
      <c r="D32" s="100"/>
      <c r="E32" s="100"/>
      <c r="F32" s="353">
        <f>SUM(F31:Q31)</f>
        <v>68</v>
      </c>
      <c r="G32" s="354"/>
      <c r="H32" s="354"/>
      <c r="I32" s="354"/>
      <c r="J32" s="354"/>
      <c r="K32" s="354"/>
      <c r="L32" s="354"/>
      <c r="M32" s="354"/>
      <c r="N32" s="354"/>
      <c r="O32" s="354"/>
      <c r="P32" s="354"/>
      <c r="Q32" s="355"/>
      <c r="R32" s="95"/>
      <c r="S32" s="78"/>
      <c r="T32" s="257">
        <f>IF('Gardiner Basin Counts'!A7&lt;&gt;"",'Gardiner Basin Counts'!A7,"")</f>
        <v>45327</v>
      </c>
      <c r="U32" s="258"/>
      <c r="V32" s="259">
        <f>IF('Gardiner Basin Counts'!B7&lt;&gt;"",'Gardiner Basin Counts'!B7,"")</f>
        <v>0</v>
      </c>
      <c r="W32" s="259"/>
      <c r="X32" s="259">
        <f>IF('Gardiner Basin Counts'!C7&lt;&gt;"",'Gardiner Basin Counts'!C7,"")</f>
        <v>0</v>
      </c>
      <c r="Y32" s="259"/>
      <c r="Z32" s="259">
        <f>IF('Gardiner Basin Counts'!D7&lt;&gt;"",'Gardiner Basin Counts'!D7,"")</f>
        <v>0</v>
      </c>
      <c r="AA32" s="259"/>
      <c r="AB32" s="259">
        <f>IF('Gardiner Basin Counts'!E7&lt;&gt;"",'Gardiner Basin Counts'!E7,"")</f>
        <v>0</v>
      </c>
      <c r="AC32" s="259"/>
      <c r="AD32" s="259">
        <f>IF('Gardiner Basin Counts'!F7&lt;&gt;"",'Gardiner Basin Counts'!F7,"")</f>
        <v>0</v>
      </c>
      <c r="AE32" s="259"/>
      <c r="AF32" s="259">
        <f>IF('Gardiner Basin Counts'!G7&lt;&gt;"",'Gardiner Basin Counts'!G7,"")</f>
        <v>0</v>
      </c>
      <c r="AG32" s="260"/>
      <c r="AH32" s="78"/>
    </row>
    <row r="33" spans="1:38" ht="14.45" customHeight="1">
      <c r="A33" s="95"/>
      <c r="B33" s="208" t="s">
        <v>51</v>
      </c>
      <c r="C33" s="100"/>
      <c r="D33" s="100"/>
      <c r="E33" s="100"/>
      <c r="F33" s="100"/>
      <c r="G33" s="100"/>
      <c r="H33" s="100"/>
      <c r="I33" s="100"/>
      <c r="J33" s="100"/>
      <c r="K33" s="100"/>
      <c r="L33" s="100"/>
      <c r="M33" s="100"/>
      <c r="N33" s="100"/>
      <c r="O33" s="100"/>
      <c r="P33" s="100"/>
      <c r="Q33" s="100"/>
      <c r="R33" s="95"/>
      <c r="S33" s="78"/>
      <c r="T33" s="257">
        <f>IF('Gardiner Basin Counts'!A8&lt;&gt;"",'Gardiner Basin Counts'!A8,"")</f>
        <v>45336</v>
      </c>
      <c r="U33" s="258"/>
      <c r="V33" s="259">
        <f>IF('Gardiner Basin Counts'!B8&lt;&gt;"",'Gardiner Basin Counts'!B8,"")</f>
        <v>0</v>
      </c>
      <c r="W33" s="259"/>
      <c r="X33" s="259">
        <f>IF('Gardiner Basin Counts'!C8&lt;&gt;"",'Gardiner Basin Counts'!C8,"")</f>
        <v>0</v>
      </c>
      <c r="Y33" s="259"/>
      <c r="Z33" s="259">
        <f>IF('Gardiner Basin Counts'!D8&lt;&gt;"",'Gardiner Basin Counts'!D8,"")</f>
        <v>0</v>
      </c>
      <c r="AA33" s="259"/>
      <c r="AB33" s="259">
        <f>IF('Gardiner Basin Counts'!E8&lt;&gt;"",'Gardiner Basin Counts'!E8,"")</f>
        <v>0</v>
      </c>
      <c r="AC33" s="259"/>
      <c r="AD33" s="259">
        <f>IF('Gardiner Basin Counts'!F8&lt;&gt;"",'Gardiner Basin Counts'!F8,"")</f>
        <v>0</v>
      </c>
      <c r="AE33" s="259"/>
      <c r="AF33" s="259">
        <f>IF('Gardiner Basin Counts'!G8&lt;&gt;"",'Gardiner Basin Counts'!G8,"")</f>
        <v>0</v>
      </c>
      <c r="AG33" s="260"/>
      <c r="AH33" s="78"/>
      <c r="AJ33" s="96"/>
      <c r="AK33" s="96"/>
      <c r="AL33" s="96"/>
    </row>
    <row r="34" spans="1:38" s="96" customFormat="1" ht="15" customHeight="1">
      <c r="A34" s="95"/>
      <c r="B34" s="208" t="s">
        <v>52</v>
      </c>
      <c r="C34" s="100"/>
      <c r="D34" s="100"/>
      <c r="E34" s="100"/>
      <c r="F34" s="100"/>
      <c r="G34" s="100"/>
      <c r="H34" s="100"/>
      <c r="I34" s="100"/>
      <c r="J34" s="100"/>
      <c r="K34" s="100"/>
      <c r="L34" s="100"/>
      <c r="M34" s="100"/>
      <c r="N34" s="100"/>
      <c r="O34" s="100"/>
      <c r="P34" s="100"/>
      <c r="Q34" s="100"/>
      <c r="R34" s="78"/>
      <c r="S34" s="78"/>
      <c r="T34" s="257">
        <f>IF('Gardiner Basin Counts'!A9&lt;&gt;"",'Gardiner Basin Counts'!A9,"")</f>
        <v>45348</v>
      </c>
      <c r="U34" s="258"/>
      <c r="V34" s="259">
        <f>IF('Gardiner Basin Counts'!B9&lt;&gt;"",'Gardiner Basin Counts'!B9,"")</f>
        <v>0</v>
      </c>
      <c r="W34" s="259"/>
      <c r="X34" s="259">
        <f>IF('Gardiner Basin Counts'!C9&lt;&gt;"",'Gardiner Basin Counts'!C9,"")</f>
        <v>0</v>
      </c>
      <c r="Y34" s="259"/>
      <c r="Z34" s="259">
        <f>IF('Gardiner Basin Counts'!D9&lt;&gt;"",'Gardiner Basin Counts'!D9,"")</f>
        <v>0</v>
      </c>
      <c r="AA34" s="259"/>
      <c r="AB34" s="259">
        <f>IF('Gardiner Basin Counts'!E9&lt;&gt;"",'Gardiner Basin Counts'!E9,"")</f>
        <v>0</v>
      </c>
      <c r="AC34" s="259"/>
      <c r="AD34" s="259">
        <f>IF('Gardiner Basin Counts'!F9&lt;&gt;"",'Gardiner Basin Counts'!F9,"")</f>
        <v>0</v>
      </c>
      <c r="AE34" s="259"/>
      <c r="AF34" s="259">
        <f>IF('Gardiner Basin Counts'!G9&lt;&gt;"",'Gardiner Basin Counts'!G9,"")</f>
        <v>0</v>
      </c>
      <c r="AG34" s="260"/>
      <c r="AH34" s="95"/>
      <c r="AJ34" s="79"/>
      <c r="AK34" s="79"/>
      <c r="AL34" s="79"/>
    </row>
    <row r="35" spans="1:38">
      <c r="A35" s="95"/>
      <c r="B35" s="209"/>
      <c r="C35" s="100"/>
      <c r="D35" s="100"/>
      <c r="E35" s="100"/>
      <c r="F35" s="100"/>
      <c r="G35" s="100"/>
      <c r="H35" s="100"/>
      <c r="I35" s="100"/>
      <c r="J35" s="100"/>
      <c r="K35" s="100"/>
      <c r="L35" s="100"/>
      <c r="M35" s="100"/>
      <c r="N35" s="100"/>
      <c r="O35" s="100"/>
      <c r="P35" s="100"/>
      <c r="Q35" s="100"/>
      <c r="R35" s="78"/>
      <c r="S35" s="78"/>
      <c r="T35" s="257">
        <f>IF('Gardiner Basin Counts'!A10&lt;&gt;"",'Gardiner Basin Counts'!A10,"")</f>
        <v>45357</v>
      </c>
      <c r="U35" s="258"/>
      <c r="V35" s="259">
        <f>IF('Gardiner Basin Counts'!B10&lt;&gt;"",'Gardiner Basin Counts'!B10,"")</f>
        <v>12</v>
      </c>
      <c r="W35" s="259"/>
      <c r="X35" s="259">
        <f>IF('Gardiner Basin Counts'!C10&lt;&gt;"",'Gardiner Basin Counts'!C10,"")</f>
        <v>0</v>
      </c>
      <c r="Y35" s="259"/>
      <c r="Z35" s="259">
        <f>IF('Gardiner Basin Counts'!D10&lt;&gt;"",'Gardiner Basin Counts'!D10,"")</f>
        <v>0</v>
      </c>
      <c r="AA35" s="259"/>
      <c r="AB35" s="259">
        <f>IF('Gardiner Basin Counts'!E10&lt;&gt;"",'Gardiner Basin Counts'!E10,"")</f>
        <v>0</v>
      </c>
      <c r="AC35" s="259"/>
      <c r="AD35" s="259">
        <f>IF('Gardiner Basin Counts'!F10&lt;&gt;"",'Gardiner Basin Counts'!F10,"")</f>
        <v>0</v>
      </c>
      <c r="AE35" s="259"/>
      <c r="AF35" s="259">
        <f>IF('Gardiner Basin Counts'!G10&lt;&gt;"",'Gardiner Basin Counts'!G10,"")</f>
        <v>12</v>
      </c>
      <c r="AG35" s="260"/>
      <c r="AH35" s="78"/>
    </row>
    <row r="36" spans="1:38">
      <c r="A36" s="95"/>
      <c r="B36" s="99"/>
      <c r="C36" s="100"/>
      <c r="D36" s="100"/>
      <c r="E36" s="100"/>
      <c r="F36" s="100"/>
      <c r="G36" s="100"/>
      <c r="H36" s="100"/>
      <c r="I36" s="100"/>
      <c r="J36" s="100"/>
      <c r="K36" s="100"/>
      <c r="L36" s="100"/>
      <c r="M36" s="100"/>
      <c r="N36" s="100"/>
      <c r="O36" s="100"/>
      <c r="P36" s="100"/>
      <c r="Q36" s="100"/>
      <c r="R36" s="78"/>
      <c r="S36" s="78"/>
      <c r="T36" s="257">
        <f>IF('Gardiner Basin Counts'!A11&lt;&gt;"",'Gardiner Basin Counts'!A11,"")</f>
        <v>45363</v>
      </c>
      <c r="U36" s="258"/>
      <c r="V36" s="259">
        <f>IF('Gardiner Basin Counts'!B11&lt;&gt;"",'Gardiner Basin Counts'!B11,"")</f>
        <v>42</v>
      </c>
      <c r="W36" s="259"/>
      <c r="X36" s="259">
        <f>IF('Gardiner Basin Counts'!C11&lt;&gt;"",'Gardiner Basin Counts'!C11,"")</f>
        <v>0</v>
      </c>
      <c r="Y36" s="259"/>
      <c r="Z36" s="259">
        <f>IF('Gardiner Basin Counts'!D11&lt;&gt;"",'Gardiner Basin Counts'!D11,"")</f>
        <v>0</v>
      </c>
      <c r="AA36" s="259"/>
      <c r="AB36" s="259">
        <f>IF('Gardiner Basin Counts'!E11&lt;&gt;"",'Gardiner Basin Counts'!E11,"")</f>
        <v>0</v>
      </c>
      <c r="AC36" s="259"/>
      <c r="AD36" s="259">
        <f>IF('Gardiner Basin Counts'!F11&lt;&gt;"",'Gardiner Basin Counts'!F11,"")</f>
        <v>0</v>
      </c>
      <c r="AE36" s="259"/>
      <c r="AF36" s="259">
        <f>IF('Gardiner Basin Counts'!G11&lt;&gt;"",'Gardiner Basin Counts'!G11,"")</f>
        <v>42</v>
      </c>
      <c r="AG36" s="260"/>
      <c r="AH36" s="78"/>
    </row>
    <row r="37" spans="1:38" ht="14.45" customHeight="1">
      <c r="A37" s="95"/>
      <c r="B37" s="99"/>
      <c r="C37" s="100"/>
      <c r="D37" s="100"/>
      <c r="E37" s="100"/>
      <c r="F37" s="100"/>
      <c r="G37" s="100"/>
      <c r="H37" s="100"/>
      <c r="I37" s="100"/>
      <c r="J37" s="100"/>
      <c r="K37" s="100"/>
      <c r="L37" s="100"/>
      <c r="M37" s="100"/>
      <c r="N37" s="100"/>
      <c r="O37" s="100"/>
      <c r="P37" s="100"/>
      <c r="Q37" s="100"/>
      <c r="R37" s="78"/>
      <c r="S37" s="78"/>
      <c r="T37" s="257">
        <f>IF('Gardiner Basin Counts'!A12&lt;&gt;"",'Gardiner Basin Counts'!A12,"")</f>
        <v>45369</v>
      </c>
      <c r="U37" s="258"/>
      <c r="V37" s="259">
        <f>IF('Gardiner Basin Counts'!B12&lt;&gt;"",'Gardiner Basin Counts'!B12,"")</f>
        <v>54</v>
      </c>
      <c r="W37" s="259"/>
      <c r="X37" s="259">
        <f>IF('Gardiner Basin Counts'!C12&lt;&gt;"",'Gardiner Basin Counts'!C12,"")</f>
        <v>102</v>
      </c>
      <c r="Y37" s="259"/>
      <c r="Z37" s="259">
        <f>IF('Gardiner Basin Counts'!D12&lt;&gt;"",'Gardiner Basin Counts'!D12,"")</f>
        <v>0</v>
      </c>
      <c r="AA37" s="259"/>
      <c r="AB37" s="259">
        <f>IF('Gardiner Basin Counts'!E12&lt;&gt;"",'Gardiner Basin Counts'!E12,"")</f>
        <v>0</v>
      </c>
      <c r="AC37" s="259"/>
      <c r="AD37" s="259">
        <f>IF('Gardiner Basin Counts'!F12&lt;&gt;"",'Gardiner Basin Counts'!F12,"")</f>
        <v>0</v>
      </c>
      <c r="AE37" s="259"/>
      <c r="AF37" s="259">
        <f>IF('Gardiner Basin Counts'!G12&lt;&gt;"",'Gardiner Basin Counts'!G12,"")</f>
        <v>156</v>
      </c>
      <c r="AG37" s="260"/>
      <c r="AH37" s="78"/>
    </row>
    <row r="38" spans="1:38" ht="14.45" customHeight="1">
      <c r="A38" s="95"/>
      <c r="B38" s="99"/>
      <c r="C38" s="100"/>
      <c r="D38" s="100"/>
      <c r="E38" s="100"/>
      <c r="F38" s="100"/>
      <c r="G38" s="100"/>
      <c r="H38" s="100"/>
      <c r="I38" s="100"/>
      <c r="J38" s="100"/>
      <c r="K38" s="100"/>
      <c r="L38" s="100"/>
      <c r="M38" s="100"/>
      <c r="N38" s="100"/>
      <c r="O38" s="100"/>
      <c r="P38" s="100"/>
      <c r="Q38" s="100"/>
      <c r="R38" s="78"/>
      <c r="S38" s="78"/>
      <c r="T38" s="257">
        <f>IF('Gardiner Basin Counts'!A13&lt;&gt;"",'Gardiner Basin Counts'!A13,"")</f>
        <v>45376</v>
      </c>
      <c r="U38" s="258"/>
      <c r="V38" s="259">
        <f>IF('Gardiner Basin Counts'!B13&lt;&gt;"",'Gardiner Basin Counts'!B13,"")</f>
        <v>9</v>
      </c>
      <c r="W38" s="259"/>
      <c r="X38" s="259">
        <f>IF('Gardiner Basin Counts'!C13&lt;&gt;"",'Gardiner Basin Counts'!C13,"")</f>
        <v>58</v>
      </c>
      <c r="Y38" s="259"/>
      <c r="Z38" s="259">
        <f>IF('Gardiner Basin Counts'!D13&lt;&gt;"",'Gardiner Basin Counts'!D13,"")</f>
        <v>0</v>
      </c>
      <c r="AA38" s="259"/>
      <c r="AB38" s="259">
        <f>IF('Gardiner Basin Counts'!E13&lt;&gt;"",'Gardiner Basin Counts'!E13,"")</f>
        <v>0</v>
      </c>
      <c r="AC38" s="259"/>
      <c r="AD38" s="259">
        <f>IF('Gardiner Basin Counts'!F13&lt;&gt;"",'Gardiner Basin Counts'!F13,"")</f>
        <v>0</v>
      </c>
      <c r="AE38" s="259"/>
      <c r="AF38" s="259">
        <f>IF('Gardiner Basin Counts'!G13&lt;&gt;"",'Gardiner Basin Counts'!G13,"")</f>
        <v>67</v>
      </c>
      <c r="AG38" s="260"/>
      <c r="AH38" s="78"/>
    </row>
    <row r="39" spans="1:38" ht="14.45" customHeight="1">
      <c r="A39" s="95"/>
      <c r="B39" s="99"/>
      <c r="C39" s="100"/>
      <c r="D39" s="100"/>
      <c r="E39" s="100"/>
      <c r="F39" s="100"/>
      <c r="G39" s="100"/>
      <c r="H39" s="100"/>
      <c r="I39" s="100"/>
      <c r="J39" s="100"/>
      <c r="K39" s="100"/>
      <c r="L39" s="100"/>
      <c r="M39" s="100"/>
      <c r="N39" s="100"/>
      <c r="O39" s="100"/>
      <c r="P39" s="100"/>
      <c r="Q39" s="100"/>
      <c r="R39" s="78"/>
      <c r="S39" s="78"/>
      <c r="T39" s="257">
        <f>IF('Gardiner Basin Counts'!A15&lt;&gt;"",'Gardiner Basin Counts'!A15,"")</f>
        <v>45390</v>
      </c>
      <c r="U39" s="258"/>
      <c r="V39" s="259">
        <f>IF('Gardiner Basin Counts'!B15&lt;&gt;"",'Gardiner Basin Counts'!B15,"")</f>
        <v>50</v>
      </c>
      <c r="W39" s="259"/>
      <c r="X39" s="259">
        <f>IF('Gardiner Basin Counts'!C15&lt;&gt;"",'Gardiner Basin Counts'!C15,"")</f>
        <v>121</v>
      </c>
      <c r="Y39" s="259"/>
      <c r="Z39" s="259">
        <f>IF('Gardiner Basin Counts'!D15&lt;&gt;"",'Gardiner Basin Counts'!D15,"")</f>
        <v>0</v>
      </c>
      <c r="AA39" s="259"/>
      <c r="AB39" s="259">
        <f>IF('Gardiner Basin Counts'!E15&lt;&gt;"",'Gardiner Basin Counts'!E15,"")</f>
        <v>0</v>
      </c>
      <c r="AC39" s="259"/>
      <c r="AD39" s="259">
        <f>IF('Gardiner Basin Counts'!F15&lt;&gt;"",'Gardiner Basin Counts'!F15,"")</f>
        <v>0</v>
      </c>
      <c r="AE39" s="259"/>
      <c r="AF39" s="259">
        <f>IF('Gardiner Basin Counts'!G15&lt;&gt;"",'Gardiner Basin Counts'!G15,"")</f>
        <v>171</v>
      </c>
      <c r="AG39" s="260"/>
      <c r="AH39" s="78"/>
    </row>
    <row r="40" spans="1:38" ht="14.45" customHeight="1">
      <c r="A40" s="78"/>
      <c r="B40" s="97"/>
      <c r="C40" s="78"/>
      <c r="D40" s="78"/>
      <c r="E40" s="78"/>
      <c r="F40" s="78"/>
      <c r="G40" s="78"/>
      <c r="H40" s="78"/>
      <c r="I40" s="78"/>
      <c r="J40" s="78"/>
      <c r="K40" s="78"/>
      <c r="L40" s="78"/>
      <c r="M40" s="78"/>
      <c r="N40" s="78"/>
      <c r="O40" s="78"/>
      <c r="P40" s="78"/>
      <c r="Q40" s="78"/>
      <c r="R40" s="78"/>
      <c r="S40" s="78"/>
      <c r="T40" s="257">
        <f>IF('Gardiner Basin Counts'!A16&lt;&gt;"",'Gardiner Basin Counts'!A16,"")</f>
        <v>45398</v>
      </c>
      <c r="U40" s="258"/>
      <c r="V40" s="259">
        <f>IF('Gardiner Basin Counts'!B16&lt;&gt;"",'Gardiner Basin Counts'!B16,"")</f>
        <v>36</v>
      </c>
      <c r="W40" s="259"/>
      <c r="X40" s="259">
        <f>IF('Gardiner Basin Counts'!C16&lt;&gt;"",'Gardiner Basin Counts'!C16,"")</f>
        <v>74</v>
      </c>
      <c r="Y40" s="259"/>
      <c r="Z40" s="259">
        <f>IF('Gardiner Basin Counts'!D16&lt;&gt;"",'Gardiner Basin Counts'!D16,"")</f>
        <v>85</v>
      </c>
      <c r="AA40" s="259"/>
      <c r="AB40" s="259">
        <f>IF('Gardiner Basin Counts'!E16&lt;&gt;"",'Gardiner Basin Counts'!E16,"")</f>
        <v>0</v>
      </c>
      <c r="AC40" s="259"/>
      <c r="AD40" s="259">
        <f>IF('Gardiner Basin Counts'!F16&lt;&gt;"",'Gardiner Basin Counts'!F16,"")</f>
        <v>0</v>
      </c>
      <c r="AE40" s="259"/>
      <c r="AF40" s="259">
        <f>IF('Gardiner Basin Counts'!G16&lt;&gt;"",'Gardiner Basin Counts'!G16,"")</f>
        <v>195</v>
      </c>
      <c r="AG40" s="260"/>
      <c r="AH40" s="78"/>
    </row>
    <row r="41" spans="1:38">
      <c r="A41" s="78"/>
      <c r="B41" s="98"/>
      <c r="C41" s="262"/>
      <c r="D41" s="262"/>
      <c r="E41" s="262"/>
      <c r="F41" s="262"/>
      <c r="G41" s="262"/>
      <c r="H41" s="262"/>
      <c r="I41" s="262"/>
      <c r="J41" s="262"/>
      <c r="K41" s="262"/>
      <c r="L41" s="262"/>
      <c r="M41" s="262"/>
      <c r="N41" s="309"/>
      <c r="O41" s="309"/>
      <c r="P41" s="309"/>
      <c r="Q41" s="78"/>
      <c r="R41" s="78"/>
      <c r="S41" s="78"/>
      <c r="T41" s="257">
        <f>IF('Gardiner Basin Counts'!A17&lt;&gt;"",'Gardiner Basin Counts'!A17,"")</f>
        <v>45406</v>
      </c>
      <c r="U41" s="258"/>
      <c r="V41" s="259">
        <f>IF('Gardiner Basin Counts'!B17&lt;&gt;"",'Gardiner Basin Counts'!B17,"")</f>
        <v>45</v>
      </c>
      <c r="W41" s="259"/>
      <c r="X41" s="259">
        <f>IF('Gardiner Basin Counts'!C17&lt;&gt;"",'Gardiner Basin Counts'!C17,"")</f>
        <v>110</v>
      </c>
      <c r="Y41" s="259"/>
      <c r="Z41" s="259">
        <f>IF('Gardiner Basin Counts'!D17&lt;&gt;"",'Gardiner Basin Counts'!D17,"")</f>
        <v>0</v>
      </c>
      <c r="AA41" s="259"/>
      <c r="AB41" s="259">
        <f>IF('Gardiner Basin Counts'!E17&lt;&gt;"",'Gardiner Basin Counts'!E17,"")</f>
        <v>0</v>
      </c>
      <c r="AC41" s="259"/>
      <c r="AD41" s="259">
        <f>IF('Gardiner Basin Counts'!F17&lt;&gt;"",'Gardiner Basin Counts'!F17,"")</f>
        <v>0</v>
      </c>
      <c r="AE41" s="259"/>
      <c r="AF41" s="259">
        <f>IF('Gardiner Basin Counts'!G17&lt;&gt;"",'Gardiner Basin Counts'!G17,"")</f>
        <v>155</v>
      </c>
      <c r="AG41" s="260"/>
      <c r="AH41" s="78"/>
    </row>
    <row r="42" spans="1:38">
      <c r="A42" s="78"/>
      <c r="B42" s="98"/>
      <c r="C42" s="263"/>
      <c r="D42" s="263"/>
      <c r="E42" s="263"/>
      <c r="F42" s="263"/>
      <c r="G42" s="263"/>
      <c r="H42" s="263"/>
      <c r="I42" s="263"/>
      <c r="J42" s="263"/>
      <c r="K42" s="263"/>
      <c r="L42" s="263"/>
      <c r="M42" s="263"/>
      <c r="N42" s="309"/>
      <c r="O42" s="309"/>
      <c r="P42" s="309"/>
      <c r="Q42" s="78"/>
      <c r="R42" s="78"/>
      <c r="S42" s="78"/>
      <c r="T42" s="257">
        <f>IF('Gardiner Basin Counts'!A18&lt;&gt;"",'Gardiner Basin Counts'!A18,"")</f>
        <v>45414</v>
      </c>
      <c r="U42" s="258"/>
      <c r="V42" s="259">
        <f>IF('Gardiner Basin Counts'!B18&lt;&gt;"",'Gardiner Basin Counts'!B18,"")</f>
        <v>24</v>
      </c>
      <c r="W42" s="259"/>
      <c r="X42" s="259">
        <f>IF('Gardiner Basin Counts'!C18&lt;&gt;"",'Gardiner Basin Counts'!C18,"")</f>
        <v>17</v>
      </c>
      <c r="Y42" s="259"/>
      <c r="Z42" s="259">
        <f>IF('Gardiner Basin Counts'!D18&lt;&gt;"",'Gardiner Basin Counts'!D18,"")</f>
        <v>0</v>
      </c>
      <c r="AA42" s="259"/>
      <c r="AB42" s="259">
        <f>IF('Gardiner Basin Counts'!E18&lt;&gt;"",'Gardiner Basin Counts'!E18,"")</f>
        <v>2</v>
      </c>
      <c r="AC42" s="259"/>
      <c r="AD42" s="259">
        <f>IF('Gardiner Basin Counts'!F18&lt;&gt;"",'Gardiner Basin Counts'!F18,"")</f>
        <v>0</v>
      </c>
      <c r="AE42" s="259"/>
      <c r="AF42" s="259">
        <f>IF('Gardiner Basin Counts'!G18&lt;&gt;"",'Gardiner Basin Counts'!G18,"")</f>
        <v>43</v>
      </c>
      <c r="AG42" s="260"/>
      <c r="AH42" s="78"/>
    </row>
    <row r="43" spans="1:38">
      <c r="A43" s="78"/>
      <c r="B43" s="98"/>
      <c r="C43" s="263"/>
      <c r="D43" s="263"/>
      <c r="E43" s="263"/>
      <c r="F43" s="263"/>
      <c r="G43" s="263"/>
      <c r="H43" s="263"/>
      <c r="I43" s="263"/>
      <c r="J43" s="263"/>
      <c r="K43" s="263"/>
      <c r="L43" s="263"/>
      <c r="M43" s="263"/>
      <c r="N43" s="240"/>
      <c r="O43" s="240"/>
      <c r="P43" s="240"/>
      <c r="Q43" s="78"/>
      <c r="R43" s="78"/>
      <c r="S43" s="78"/>
      <c r="T43" s="257" t="str">
        <f>IF('Gardiner Basin Counts'!A19&lt;&gt;"",'Gardiner Basin Counts'!A19,"")</f>
        <v/>
      </c>
      <c r="U43" s="258"/>
      <c r="V43" s="259" t="str">
        <f>IF('Gardiner Basin Counts'!B19&lt;&gt;"",'Gardiner Basin Counts'!B19,"")</f>
        <v/>
      </c>
      <c r="W43" s="259"/>
      <c r="X43" s="259" t="str">
        <f>IF('Gardiner Basin Counts'!C19&lt;&gt;"",'Gardiner Basin Counts'!C19,"")</f>
        <v/>
      </c>
      <c r="Y43" s="259"/>
      <c r="Z43" s="259" t="str">
        <f>IF('Gardiner Basin Counts'!D19&lt;&gt;"",'Gardiner Basin Counts'!D19,"")</f>
        <v/>
      </c>
      <c r="AA43" s="259"/>
      <c r="AB43" s="259" t="str">
        <f>IF('Gardiner Basin Counts'!E19&lt;&gt;"",'Gardiner Basin Counts'!E19,"")</f>
        <v/>
      </c>
      <c r="AC43" s="259"/>
      <c r="AD43" s="259" t="str">
        <f>IF('Gardiner Basin Counts'!F19&lt;&gt;"",'Gardiner Basin Counts'!F19,"")</f>
        <v/>
      </c>
      <c r="AE43" s="259"/>
      <c r="AF43" s="259" t="str">
        <f>IF('Gardiner Basin Counts'!G19&lt;&gt;"",'Gardiner Basin Counts'!G19,"")</f>
        <v/>
      </c>
      <c r="AG43" s="260"/>
      <c r="AH43" s="78"/>
    </row>
    <row r="44" spans="1:38">
      <c r="A44" s="78"/>
      <c r="B44" s="98"/>
      <c r="C44" s="263"/>
      <c r="D44" s="263"/>
      <c r="E44" s="263"/>
      <c r="F44" s="263"/>
      <c r="G44" s="263"/>
      <c r="H44" s="263"/>
      <c r="I44" s="263"/>
      <c r="J44" s="263"/>
      <c r="K44" s="263"/>
      <c r="L44" s="263"/>
      <c r="M44" s="263"/>
      <c r="N44" s="240"/>
      <c r="O44" s="240"/>
      <c r="P44" s="240"/>
      <c r="Q44" s="78"/>
      <c r="R44" s="98"/>
      <c r="S44" s="78"/>
      <c r="T44" s="257" t="str">
        <f>IF('Gardiner Basin Counts'!A20&lt;&gt;"",'Gardiner Basin Counts'!A20,"")</f>
        <v/>
      </c>
      <c r="U44" s="258"/>
      <c r="V44" s="259" t="str">
        <f>IF('Gardiner Basin Counts'!B20&lt;&gt;"",'Gardiner Basin Counts'!B20,"")</f>
        <v/>
      </c>
      <c r="W44" s="259"/>
      <c r="X44" s="259" t="str">
        <f>IF('Gardiner Basin Counts'!C20&lt;&gt;"",'Gardiner Basin Counts'!C20,"")</f>
        <v/>
      </c>
      <c r="Y44" s="259"/>
      <c r="Z44" s="259" t="str">
        <f>IF('Gardiner Basin Counts'!D20&lt;&gt;"",'Gardiner Basin Counts'!D20,"")</f>
        <v/>
      </c>
      <c r="AA44" s="259"/>
      <c r="AB44" s="259" t="str">
        <f>IF('Gardiner Basin Counts'!E20&lt;&gt;"",'Gardiner Basin Counts'!E20,"")</f>
        <v/>
      </c>
      <c r="AC44" s="259"/>
      <c r="AD44" s="259" t="str">
        <f>IF('Gardiner Basin Counts'!F20&lt;&gt;"",'Gardiner Basin Counts'!F20,"")</f>
        <v/>
      </c>
      <c r="AE44" s="259"/>
      <c r="AF44" s="259" t="str">
        <f>IF('Gardiner Basin Counts'!G20&lt;&gt;"",'Gardiner Basin Counts'!G20,"")</f>
        <v/>
      </c>
      <c r="AG44" s="260"/>
      <c r="AH44" s="78"/>
    </row>
    <row r="45" spans="1:38" ht="12.95" thickBot="1">
      <c r="A45" s="78"/>
      <c r="B45" s="98"/>
      <c r="C45" s="263"/>
      <c r="D45" s="263"/>
      <c r="E45" s="263"/>
      <c r="F45" s="263"/>
      <c r="G45" s="263"/>
      <c r="H45" s="263"/>
      <c r="I45" s="263"/>
      <c r="J45" s="263"/>
      <c r="K45" s="263"/>
      <c r="L45" s="263"/>
      <c r="M45" s="263"/>
      <c r="N45" s="240"/>
      <c r="O45" s="240"/>
      <c r="P45" s="240"/>
      <c r="Q45" s="78"/>
      <c r="R45" s="98"/>
      <c r="S45" s="78"/>
      <c r="T45" s="253" t="str">
        <f>IF('Gardiner Basin Counts'!A21&lt;&gt;"",'Gardiner Basin Counts'!A21,"")</f>
        <v/>
      </c>
      <c r="U45" s="254"/>
      <c r="V45" s="255" t="str">
        <f>IF('Gardiner Basin Counts'!B21&lt;&gt;"",'Gardiner Basin Counts'!B21,"")</f>
        <v/>
      </c>
      <c r="W45" s="255"/>
      <c r="X45" s="255" t="str">
        <f>IF('Gardiner Basin Counts'!C21&lt;&gt;"",'Gardiner Basin Counts'!C21,"")</f>
        <v/>
      </c>
      <c r="Y45" s="255"/>
      <c r="Z45" s="255" t="str">
        <f>IF('Gardiner Basin Counts'!D21&lt;&gt;"",'Gardiner Basin Counts'!D21,"")</f>
        <v/>
      </c>
      <c r="AA45" s="255"/>
      <c r="AB45" s="255" t="str">
        <f>IF('Gardiner Basin Counts'!E21&lt;&gt;"",'Gardiner Basin Counts'!E21,"")</f>
        <v/>
      </c>
      <c r="AC45" s="255"/>
      <c r="AD45" s="255" t="str">
        <f>IF('Gardiner Basin Counts'!F21&lt;&gt;"",'Gardiner Basin Counts'!F21,"")</f>
        <v/>
      </c>
      <c r="AE45" s="255"/>
      <c r="AF45" s="255" t="str">
        <f>IF('Gardiner Basin Counts'!G21&lt;&gt;"",'Gardiner Basin Counts'!G21,"")</f>
        <v/>
      </c>
      <c r="AG45" s="256"/>
      <c r="AH45" s="78"/>
    </row>
    <row r="46" spans="1:38">
      <c r="A46" s="78"/>
      <c r="B46" s="98"/>
      <c r="C46" s="263"/>
      <c r="D46" s="263"/>
      <c r="E46" s="263"/>
      <c r="F46" s="263"/>
      <c r="G46" s="263"/>
      <c r="H46" s="263"/>
      <c r="I46" s="263"/>
      <c r="J46" s="263"/>
      <c r="K46" s="263"/>
      <c r="L46" s="263"/>
      <c r="M46" s="263"/>
      <c r="N46" s="309"/>
      <c r="O46" s="309"/>
      <c r="P46" s="309"/>
      <c r="Q46" s="78"/>
      <c r="R46" s="98"/>
      <c r="S46" s="95"/>
      <c r="AH46" s="78"/>
    </row>
    <row r="47" spans="1:38">
      <c r="A47" s="98"/>
      <c r="B47" s="261"/>
      <c r="C47" s="261"/>
      <c r="D47" s="261"/>
      <c r="E47" s="261"/>
      <c r="F47" s="261"/>
      <c r="G47" s="261"/>
      <c r="H47" s="261"/>
      <c r="I47" s="261"/>
      <c r="J47" s="261"/>
      <c r="K47" s="261"/>
      <c r="L47" s="261"/>
      <c r="M47" s="261"/>
      <c r="N47" s="261"/>
      <c r="O47" s="261"/>
      <c r="P47" s="261"/>
      <c r="Q47" s="261"/>
      <c r="R47" s="98"/>
      <c r="S47" s="78"/>
      <c r="AH47" s="78"/>
    </row>
  </sheetData>
  <sheetProtection selectLockedCells="1"/>
  <mergeCells count="203">
    <mergeCell ref="C23:E23"/>
    <mergeCell ref="AB36:AC36"/>
    <mergeCell ref="Z36:AA36"/>
    <mergeCell ref="X36:Y36"/>
    <mergeCell ref="V36:W36"/>
    <mergeCell ref="T36:U36"/>
    <mergeCell ref="F32:Q32"/>
    <mergeCell ref="A20:A26"/>
    <mergeCell ref="A8:A19"/>
    <mergeCell ref="B24:B26"/>
    <mergeCell ref="C29:E29"/>
    <mergeCell ref="C24:E24"/>
    <mergeCell ref="C26:E26"/>
    <mergeCell ref="V35:W35"/>
    <mergeCell ref="AB35:AC35"/>
    <mergeCell ref="T35:U35"/>
    <mergeCell ref="V28:W28"/>
    <mergeCell ref="V29:W29"/>
    <mergeCell ref="T28:U28"/>
    <mergeCell ref="C21:E21"/>
    <mergeCell ref="T21:U27"/>
    <mergeCell ref="T29:U29"/>
    <mergeCell ref="T30:U30"/>
    <mergeCell ref="T31:U31"/>
    <mergeCell ref="Z41:AA41"/>
    <mergeCell ref="X41:Y41"/>
    <mergeCell ref="AF41:AG41"/>
    <mergeCell ref="AD41:AE41"/>
    <mergeCell ref="AF36:AG36"/>
    <mergeCell ref="AD36:AE36"/>
    <mergeCell ref="T42:U42"/>
    <mergeCell ref="AF35:AG35"/>
    <mergeCell ref="T39:U39"/>
    <mergeCell ref="T40:U40"/>
    <mergeCell ref="T41:U41"/>
    <mergeCell ref="T37:U37"/>
    <mergeCell ref="V37:W37"/>
    <mergeCell ref="X37:Y37"/>
    <mergeCell ref="Z37:AA37"/>
    <mergeCell ref="AB37:AC37"/>
    <mergeCell ref="AD37:AE37"/>
    <mergeCell ref="V40:W40"/>
    <mergeCell ref="X40:Y40"/>
    <mergeCell ref="Z40:AA40"/>
    <mergeCell ref="AB40:AC40"/>
    <mergeCell ref="AD40:AE40"/>
    <mergeCell ref="AF40:AG40"/>
    <mergeCell ref="V41:W41"/>
    <mergeCell ref="T32:U32"/>
    <mergeCell ref="T33:U33"/>
    <mergeCell ref="T34:U34"/>
    <mergeCell ref="AD32:AE32"/>
    <mergeCell ref="AF30:AG30"/>
    <mergeCell ref="AF31:AG31"/>
    <mergeCell ref="AF32:AG32"/>
    <mergeCell ref="X30:Y30"/>
    <mergeCell ref="Z30:AA30"/>
    <mergeCell ref="AB30:AC30"/>
    <mergeCell ref="AD30:AE30"/>
    <mergeCell ref="V34:W34"/>
    <mergeCell ref="X33:Y33"/>
    <mergeCell ref="Z33:AA33"/>
    <mergeCell ref="AB31:AC31"/>
    <mergeCell ref="AD31:AE31"/>
    <mergeCell ref="AB33:AC33"/>
    <mergeCell ref="AD33:AE33"/>
    <mergeCell ref="V30:W30"/>
    <mergeCell ref="AF21:AG27"/>
    <mergeCell ref="AF28:AG28"/>
    <mergeCell ref="AF29:AG29"/>
    <mergeCell ref="X29:Y29"/>
    <mergeCell ref="Z29:AA29"/>
    <mergeCell ref="Z28:AA28"/>
    <mergeCell ref="AB21:AC27"/>
    <mergeCell ref="AF33:AG33"/>
    <mergeCell ref="AF34:AG34"/>
    <mergeCell ref="T17:AG20"/>
    <mergeCell ref="V31:W31"/>
    <mergeCell ref="V32:W32"/>
    <mergeCell ref="V33:W33"/>
    <mergeCell ref="X21:Y27"/>
    <mergeCell ref="Z21:AA27"/>
    <mergeCell ref="V21:W27"/>
    <mergeCell ref="AD35:AE35"/>
    <mergeCell ref="X34:Y34"/>
    <mergeCell ref="Z34:AA34"/>
    <mergeCell ref="AB34:AC34"/>
    <mergeCell ref="AD34:AE34"/>
    <mergeCell ref="X32:Y32"/>
    <mergeCell ref="Z32:AA32"/>
    <mergeCell ref="X31:Y31"/>
    <mergeCell ref="Z31:AA31"/>
    <mergeCell ref="X35:Y35"/>
    <mergeCell ref="Z35:AA35"/>
    <mergeCell ref="AB32:AC32"/>
    <mergeCell ref="X28:Y28"/>
    <mergeCell ref="AB29:AC29"/>
    <mergeCell ref="AD29:AE29"/>
    <mergeCell ref="AB28:AC28"/>
    <mergeCell ref="AD28:AE28"/>
    <mergeCell ref="T12:U12"/>
    <mergeCell ref="AB13:AG13"/>
    <mergeCell ref="V4:W4"/>
    <mergeCell ref="X4:Y4"/>
    <mergeCell ref="Z4:AA4"/>
    <mergeCell ref="AB4:AC4"/>
    <mergeCell ref="AD4:AE4"/>
    <mergeCell ref="AF4:AG4"/>
    <mergeCell ref="V3:AA3"/>
    <mergeCell ref="V13:AA13"/>
    <mergeCell ref="C43:M43"/>
    <mergeCell ref="C44:M44"/>
    <mergeCell ref="N42:P42"/>
    <mergeCell ref="N46:P46"/>
    <mergeCell ref="C45:M45"/>
    <mergeCell ref="C46:M46"/>
    <mergeCell ref="N41:P41"/>
    <mergeCell ref="B5:B7"/>
    <mergeCell ref="C5:E7"/>
    <mergeCell ref="F5:K5"/>
    <mergeCell ref="L5:Q5"/>
    <mergeCell ref="F6:G6"/>
    <mergeCell ref="H6:I6"/>
    <mergeCell ref="B8:B19"/>
    <mergeCell ref="C8:E8"/>
    <mergeCell ref="C9:E9"/>
    <mergeCell ref="C10:E10"/>
    <mergeCell ref="C11:E11"/>
    <mergeCell ref="C12:E12"/>
    <mergeCell ref="J6:K6"/>
    <mergeCell ref="L6:M6"/>
    <mergeCell ref="N6:O6"/>
    <mergeCell ref="P6:Q6"/>
    <mergeCell ref="C22:E22"/>
    <mergeCell ref="B1:Q4"/>
    <mergeCell ref="T6:U6"/>
    <mergeCell ref="T7:U7"/>
    <mergeCell ref="T8:U8"/>
    <mergeCell ref="T10:U10"/>
    <mergeCell ref="AB3:AG3"/>
    <mergeCell ref="L31:Q31"/>
    <mergeCell ref="F31:K31"/>
    <mergeCell ref="B27:B31"/>
    <mergeCell ref="C27:E27"/>
    <mergeCell ref="C28:E28"/>
    <mergeCell ref="C30:E30"/>
    <mergeCell ref="C13:E13"/>
    <mergeCell ref="C14:E14"/>
    <mergeCell ref="C17:E17"/>
    <mergeCell ref="C19:E19"/>
    <mergeCell ref="B20:B22"/>
    <mergeCell ref="C18:E18"/>
    <mergeCell ref="C20:E20"/>
    <mergeCell ref="AD21:AE27"/>
    <mergeCell ref="T1:AF2"/>
    <mergeCell ref="T3:U5"/>
    <mergeCell ref="T13:U13"/>
    <mergeCell ref="T11:U11"/>
    <mergeCell ref="B47:Q47"/>
    <mergeCell ref="V42:W42"/>
    <mergeCell ref="X42:Y42"/>
    <mergeCell ref="Z42:AA42"/>
    <mergeCell ref="AB42:AC42"/>
    <mergeCell ref="AD42:AE42"/>
    <mergeCell ref="AF42:AG42"/>
    <mergeCell ref="AB41:AC41"/>
    <mergeCell ref="AF37:AG37"/>
    <mergeCell ref="T38:U38"/>
    <mergeCell ref="V38:W38"/>
    <mergeCell ref="X38:Y38"/>
    <mergeCell ref="Z38:AA38"/>
    <mergeCell ref="AB38:AC38"/>
    <mergeCell ref="AD38:AE38"/>
    <mergeCell ref="AF38:AG38"/>
    <mergeCell ref="V39:W39"/>
    <mergeCell ref="X39:Y39"/>
    <mergeCell ref="Z39:AA39"/>
    <mergeCell ref="AB39:AC39"/>
    <mergeCell ref="AD39:AE39"/>
    <mergeCell ref="AF39:AG39"/>
    <mergeCell ref="C41:M41"/>
    <mergeCell ref="C42:M42"/>
    <mergeCell ref="T45:U45"/>
    <mergeCell ref="V45:W45"/>
    <mergeCell ref="X45:Y45"/>
    <mergeCell ref="Z45:AA45"/>
    <mergeCell ref="AB45:AC45"/>
    <mergeCell ref="AD45:AE45"/>
    <mergeCell ref="AF45:AG45"/>
    <mergeCell ref="T43:U43"/>
    <mergeCell ref="V43:W43"/>
    <mergeCell ref="X43:Y43"/>
    <mergeCell ref="Z43:AA43"/>
    <mergeCell ref="AB43:AC43"/>
    <mergeCell ref="AD43:AE43"/>
    <mergeCell ref="AF43:AG43"/>
    <mergeCell ref="T44:U44"/>
    <mergeCell ref="V44:W44"/>
    <mergeCell ref="X44:Y44"/>
    <mergeCell ref="Z44:AA44"/>
    <mergeCell ref="AB44:AC44"/>
    <mergeCell ref="AD44:AE44"/>
    <mergeCell ref="AF44:AG44"/>
  </mergeCells>
  <pageMargins left="0.7" right="0.7" top="0.75" bottom="0.75" header="0.3" footer="0.3"/>
  <pageSetup orientation="portrait" horizontalDpi="4294967295" verticalDpi="4294967295" r:id="rId1"/>
  <headerFooter>
    <oddHeader>&amp;L&amp;"Times New Roman,Bold"&amp;12Bison Operations Winter 2023-2024:&amp;R&amp;"Times New Roman,Regular"Date Updated: &amp;"Times New Roman,Bold"&amp;D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W57"/>
  <sheetViews>
    <sheetView zoomScale="115" zoomScaleNormal="115" workbookViewId="0">
      <selection activeCell="J4" sqref="J4:O15"/>
    </sheetView>
  </sheetViews>
  <sheetFormatPr defaultColWidth="9.140625" defaultRowHeight="14.45"/>
  <cols>
    <col min="1" max="1" width="9.140625" style="3"/>
    <col min="2" max="2" width="12.28515625" style="3" customWidth="1"/>
    <col min="3" max="3" width="29.28515625" style="3" bestFit="1" customWidth="1"/>
    <col min="4" max="8" width="4.28515625" style="3" customWidth="1"/>
    <col min="9" max="9" width="8.140625" style="3" bestFit="1" customWidth="1"/>
    <col min="10" max="15" width="4.28515625" style="3" customWidth="1"/>
    <col min="16" max="16384" width="9.140625" style="3"/>
  </cols>
  <sheetData>
    <row r="1" spans="2:23">
      <c r="B1" s="373" t="s">
        <v>2</v>
      </c>
      <c r="C1" s="385" t="s">
        <v>8</v>
      </c>
      <c r="D1" s="380" t="s">
        <v>9</v>
      </c>
      <c r="E1" s="380"/>
      <c r="F1" s="380"/>
      <c r="G1" s="380"/>
      <c r="H1" s="380"/>
      <c r="I1" s="380"/>
      <c r="J1" s="381" t="s">
        <v>10</v>
      </c>
      <c r="K1" s="380"/>
      <c r="L1" s="380"/>
      <c r="M1" s="380"/>
      <c r="N1" s="380"/>
      <c r="O1" s="382"/>
    </row>
    <row r="2" spans="2:23">
      <c r="B2" s="374"/>
      <c r="C2" s="386"/>
      <c r="D2" s="376" t="s">
        <v>3</v>
      </c>
      <c r="E2" s="376"/>
      <c r="F2" s="376" t="s">
        <v>4</v>
      </c>
      <c r="G2" s="376"/>
      <c r="H2" s="376" t="s">
        <v>13</v>
      </c>
      <c r="I2" s="376"/>
      <c r="J2" s="384" t="s">
        <v>3</v>
      </c>
      <c r="K2" s="376"/>
      <c r="L2" s="376" t="s">
        <v>4</v>
      </c>
      <c r="M2" s="376"/>
      <c r="N2" s="376" t="s">
        <v>13</v>
      </c>
      <c r="O2" s="383"/>
    </row>
    <row r="3" spans="2:23" ht="14.65" thickBot="1">
      <c r="B3" s="375"/>
      <c r="C3" s="387"/>
      <c r="D3" s="5" t="s">
        <v>14</v>
      </c>
      <c r="E3" s="5" t="s">
        <v>15</v>
      </c>
      <c r="F3" s="5" t="s">
        <v>14</v>
      </c>
      <c r="G3" s="5" t="s">
        <v>15</v>
      </c>
      <c r="H3" s="5" t="s">
        <v>13</v>
      </c>
      <c r="I3" s="5" t="s">
        <v>16</v>
      </c>
      <c r="J3" s="114" t="s">
        <v>14</v>
      </c>
      <c r="K3" s="5" t="s">
        <v>15</v>
      </c>
      <c r="L3" s="5" t="s">
        <v>14</v>
      </c>
      <c r="M3" s="5" t="s">
        <v>15</v>
      </c>
      <c r="N3" s="5" t="s">
        <v>13</v>
      </c>
      <c r="O3" s="11" t="s">
        <v>16</v>
      </c>
    </row>
    <row r="4" spans="2:23" s="2" customFormat="1" ht="14.45" customHeight="1">
      <c r="B4" s="388" t="s">
        <v>53</v>
      </c>
      <c r="C4" s="109" t="s">
        <v>19</v>
      </c>
      <c r="D4" s="49">
        <v>2</v>
      </c>
      <c r="E4" s="43">
        <v>0</v>
      </c>
      <c r="F4" s="43">
        <v>0</v>
      </c>
      <c r="G4" s="43">
        <v>0</v>
      </c>
      <c r="H4" s="43">
        <v>0</v>
      </c>
      <c r="I4" s="44">
        <v>0</v>
      </c>
      <c r="J4" s="49">
        <v>10</v>
      </c>
      <c r="K4" s="43">
        <v>0</v>
      </c>
      <c r="L4" s="43">
        <v>3</v>
      </c>
      <c r="M4" s="43">
        <v>0</v>
      </c>
      <c r="N4" s="43">
        <v>0</v>
      </c>
      <c r="O4" s="44">
        <v>0</v>
      </c>
    </row>
    <row r="5" spans="2:23" s="2" customFormat="1">
      <c r="B5" s="389"/>
      <c r="C5" s="110" t="s">
        <v>20</v>
      </c>
      <c r="D5" s="50">
        <v>0</v>
      </c>
      <c r="E5" s="29">
        <v>0</v>
      </c>
      <c r="F5" s="29">
        <v>0</v>
      </c>
      <c r="G5" s="29">
        <v>0</v>
      </c>
      <c r="H5" s="29">
        <v>0</v>
      </c>
      <c r="I5" s="31">
        <v>0</v>
      </c>
      <c r="J5" s="50">
        <v>1</v>
      </c>
      <c r="K5" s="29">
        <v>0</v>
      </c>
      <c r="L5" s="29">
        <v>2</v>
      </c>
      <c r="M5" s="29">
        <v>0</v>
      </c>
      <c r="N5" s="29">
        <v>0</v>
      </c>
      <c r="O5" s="31">
        <v>1</v>
      </c>
      <c r="P5" s="24"/>
    </row>
    <row r="6" spans="2:23" s="2" customFormat="1">
      <c r="B6" s="389"/>
      <c r="C6" s="110" t="s">
        <v>21</v>
      </c>
      <c r="D6" s="50">
        <v>3</v>
      </c>
      <c r="E6" s="29">
        <v>0</v>
      </c>
      <c r="F6" s="29">
        <v>1</v>
      </c>
      <c r="G6" s="29">
        <v>0</v>
      </c>
      <c r="H6" s="29">
        <v>0</v>
      </c>
      <c r="I6" s="31">
        <v>1</v>
      </c>
      <c r="J6" s="50">
        <v>0</v>
      </c>
      <c r="K6" s="29">
        <v>0</v>
      </c>
      <c r="L6" s="29">
        <v>0</v>
      </c>
      <c r="M6" s="29">
        <v>0</v>
      </c>
      <c r="N6" s="29">
        <v>0</v>
      </c>
      <c r="O6" s="31">
        <v>0</v>
      </c>
    </row>
    <row r="7" spans="2:23" s="2" customFormat="1">
      <c r="B7" s="389"/>
      <c r="C7" s="110" t="s">
        <v>22</v>
      </c>
      <c r="D7" s="50">
        <v>0</v>
      </c>
      <c r="E7" s="29">
        <v>0</v>
      </c>
      <c r="F7" s="29">
        <v>0</v>
      </c>
      <c r="G7" s="29">
        <v>0</v>
      </c>
      <c r="H7" s="29">
        <v>0</v>
      </c>
      <c r="I7" s="31">
        <v>0</v>
      </c>
      <c r="J7" s="50">
        <v>0</v>
      </c>
      <c r="K7" s="29">
        <v>0</v>
      </c>
      <c r="L7" s="29">
        <v>0</v>
      </c>
      <c r="M7" s="29">
        <v>0</v>
      </c>
      <c r="N7" s="29">
        <v>0</v>
      </c>
      <c r="O7" s="31">
        <v>0</v>
      </c>
    </row>
    <row r="8" spans="2:23" s="2" customFormat="1">
      <c r="B8" s="389"/>
      <c r="C8" s="110" t="s">
        <v>23</v>
      </c>
      <c r="D8" s="50">
        <v>0</v>
      </c>
      <c r="E8" s="29">
        <v>0</v>
      </c>
      <c r="F8" s="29">
        <v>0</v>
      </c>
      <c r="G8" s="29">
        <v>0</v>
      </c>
      <c r="H8" s="29">
        <v>0</v>
      </c>
      <c r="I8" s="31">
        <v>0</v>
      </c>
      <c r="J8" s="50">
        <v>9</v>
      </c>
      <c r="K8" s="29">
        <v>0</v>
      </c>
      <c r="L8" s="29">
        <v>0</v>
      </c>
      <c r="M8" s="29">
        <v>0</v>
      </c>
      <c r="N8" s="29">
        <v>0</v>
      </c>
      <c r="O8" s="31">
        <v>0</v>
      </c>
    </row>
    <row r="9" spans="2:23" s="2" customFormat="1">
      <c r="B9" s="389"/>
      <c r="C9" s="110" t="s">
        <v>25</v>
      </c>
      <c r="D9" s="50">
        <v>0</v>
      </c>
      <c r="E9" s="29">
        <v>0</v>
      </c>
      <c r="F9" s="29">
        <v>0</v>
      </c>
      <c r="G9" s="29">
        <v>0</v>
      </c>
      <c r="H9" s="29">
        <v>0</v>
      </c>
      <c r="I9" s="31">
        <v>0</v>
      </c>
      <c r="J9" s="50">
        <v>0</v>
      </c>
      <c r="K9" s="29">
        <v>0</v>
      </c>
      <c r="L9" s="29">
        <v>0</v>
      </c>
      <c r="M9" s="29">
        <v>0</v>
      </c>
      <c r="N9" s="29">
        <v>0</v>
      </c>
      <c r="O9" s="31">
        <v>0</v>
      </c>
      <c r="P9" s="12"/>
      <c r="Q9" s="15"/>
    </row>
    <row r="10" spans="2:23" s="2" customFormat="1">
      <c r="B10" s="389"/>
      <c r="C10" s="110" t="s">
        <v>26</v>
      </c>
      <c r="D10" s="50">
        <v>0</v>
      </c>
      <c r="E10" s="29">
        <v>0</v>
      </c>
      <c r="F10" s="29">
        <v>0</v>
      </c>
      <c r="G10" s="29">
        <v>0</v>
      </c>
      <c r="H10" s="29">
        <v>0</v>
      </c>
      <c r="I10" s="31">
        <v>0</v>
      </c>
      <c r="J10" s="50">
        <v>1</v>
      </c>
      <c r="K10" s="29">
        <v>0</v>
      </c>
      <c r="L10" s="29">
        <v>1</v>
      </c>
      <c r="M10" s="29">
        <v>0</v>
      </c>
      <c r="N10" s="29">
        <v>0</v>
      </c>
      <c r="O10" s="31">
        <v>0</v>
      </c>
      <c r="P10" s="12"/>
      <c r="Q10" s="15"/>
    </row>
    <row r="11" spans="2:23" s="2" customFormat="1">
      <c r="B11" s="389"/>
      <c r="C11" s="110" t="s">
        <v>27</v>
      </c>
      <c r="D11" s="50">
        <v>5</v>
      </c>
      <c r="E11" s="29">
        <v>0</v>
      </c>
      <c r="F11" s="29">
        <v>1</v>
      </c>
      <c r="G11" s="29">
        <v>0</v>
      </c>
      <c r="H11" s="29">
        <v>0</v>
      </c>
      <c r="I11" s="31">
        <v>0</v>
      </c>
      <c r="J11" s="50">
        <v>0</v>
      </c>
      <c r="K11" s="29">
        <v>0</v>
      </c>
      <c r="L11" s="29">
        <v>0</v>
      </c>
      <c r="M11" s="29">
        <v>0</v>
      </c>
      <c r="N11" s="29">
        <v>0</v>
      </c>
      <c r="O11" s="31">
        <v>0</v>
      </c>
      <c r="P11" s="12"/>
      <c r="Q11" s="15"/>
    </row>
    <row r="12" spans="2:23" s="2" customFormat="1">
      <c r="B12" s="389"/>
      <c r="C12" s="110" t="s">
        <v>28</v>
      </c>
      <c r="D12" s="50">
        <v>0</v>
      </c>
      <c r="E12" s="29">
        <v>0</v>
      </c>
      <c r="F12" s="29">
        <v>0</v>
      </c>
      <c r="G12" s="29">
        <v>0</v>
      </c>
      <c r="H12" s="29">
        <v>0</v>
      </c>
      <c r="I12" s="31">
        <v>0</v>
      </c>
      <c r="J12" s="50">
        <v>0</v>
      </c>
      <c r="K12" s="29">
        <v>0</v>
      </c>
      <c r="L12" s="29">
        <v>0</v>
      </c>
      <c r="M12" s="29">
        <v>0</v>
      </c>
      <c r="N12" s="29">
        <v>0</v>
      </c>
      <c r="O12" s="31">
        <v>0</v>
      </c>
      <c r="P12" s="12"/>
      <c r="Q12" s="15"/>
    </row>
    <row r="13" spans="2:23" s="2" customFormat="1" ht="14.65">
      <c r="B13" s="389"/>
      <c r="C13" s="110" t="s">
        <v>54</v>
      </c>
      <c r="D13" s="50">
        <v>0</v>
      </c>
      <c r="E13" s="29">
        <v>0</v>
      </c>
      <c r="F13" s="29">
        <v>0</v>
      </c>
      <c r="G13" s="29">
        <v>0</v>
      </c>
      <c r="H13" s="29">
        <v>0</v>
      </c>
      <c r="I13" s="31">
        <v>0</v>
      </c>
      <c r="J13" s="50">
        <v>0</v>
      </c>
      <c r="K13" s="29">
        <v>0</v>
      </c>
      <c r="L13" s="29">
        <v>0</v>
      </c>
      <c r="M13" s="29">
        <v>0</v>
      </c>
      <c r="N13" s="29">
        <v>0</v>
      </c>
      <c r="O13" s="31">
        <v>0</v>
      </c>
      <c r="P13" s="12"/>
      <c r="Q13" s="15"/>
    </row>
    <row r="14" spans="2:23" s="2" customFormat="1" ht="14.65">
      <c r="B14" s="389"/>
      <c r="C14" s="110" t="s">
        <v>55</v>
      </c>
      <c r="D14" s="50">
        <v>0</v>
      </c>
      <c r="E14" s="29">
        <v>0</v>
      </c>
      <c r="F14" s="29">
        <v>0</v>
      </c>
      <c r="G14" s="29">
        <v>0</v>
      </c>
      <c r="H14" s="29">
        <v>0</v>
      </c>
      <c r="I14" s="31">
        <v>0</v>
      </c>
      <c r="J14" s="50">
        <v>0</v>
      </c>
      <c r="K14" s="29">
        <v>0</v>
      </c>
      <c r="L14" s="29">
        <v>0</v>
      </c>
      <c r="M14" s="29">
        <v>0</v>
      </c>
      <c r="N14" s="29">
        <v>0</v>
      </c>
      <c r="O14" s="31">
        <v>0</v>
      </c>
      <c r="P14" s="12"/>
      <c r="Q14" s="15"/>
    </row>
    <row r="15" spans="2:23" s="2" customFormat="1" ht="14.65" thickBot="1">
      <c r="B15" s="389"/>
      <c r="C15" s="110" t="s">
        <v>56</v>
      </c>
      <c r="D15" s="50">
        <v>0</v>
      </c>
      <c r="E15" s="29">
        <v>0</v>
      </c>
      <c r="F15" s="29">
        <v>0</v>
      </c>
      <c r="G15" s="29">
        <v>0</v>
      </c>
      <c r="H15" s="29">
        <v>0</v>
      </c>
      <c r="I15" s="31">
        <v>0</v>
      </c>
      <c r="J15" s="50">
        <v>0</v>
      </c>
      <c r="K15" s="29">
        <v>0</v>
      </c>
      <c r="L15" s="29">
        <v>0</v>
      </c>
      <c r="M15" s="29">
        <v>0</v>
      </c>
      <c r="N15" s="29">
        <v>0</v>
      </c>
      <c r="O15" s="31">
        <v>0</v>
      </c>
      <c r="P15" s="12"/>
      <c r="Q15" s="372"/>
      <c r="R15" s="372"/>
      <c r="S15" s="372"/>
      <c r="T15" s="372"/>
      <c r="U15" s="372"/>
      <c r="V15" s="372"/>
    </row>
    <row r="16" spans="2:23" ht="14.45" customHeight="1">
      <c r="B16" s="390"/>
      <c r="C16" s="182" t="s">
        <v>57</v>
      </c>
      <c r="D16" s="187">
        <v>5</v>
      </c>
      <c r="E16" s="188">
        <v>1</v>
      </c>
      <c r="F16" s="188">
        <v>7</v>
      </c>
      <c r="G16" s="188">
        <v>0</v>
      </c>
      <c r="H16" s="188" cm="1">
        <f t="array" ref="H16">SUM(IF('Consignment and Releases'!H:H="Ship to Slaughter",'Consignment and Releases'!F:F,0))</f>
        <v>0</v>
      </c>
      <c r="I16" s="189">
        <v>1</v>
      </c>
      <c r="J16" s="101">
        <v>0</v>
      </c>
      <c r="K16" s="101">
        <v>0</v>
      </c>
      <c r="L16" s="101">
        <v>0</v>
      </c>
      <c r="M16" s="101">
        <v>0</v>
      </c>
      <c r="N16" s="101">
        <v>0</v>
      </c>
      <c r="O16" s="101">
        <v>0</v>
      </c>
      <c r="P16" s="195">
        <f>SUM(D16:I16)</f>
        <v>14</v>
      </c>
      <c r="Q16" s="2"/>
      <c r="R16" s="2"/>
      <c r="S16" s="2"/>
      <c r="T16" s="2"/>
      <c r="U16" s="2"/>
      <c r="V16" s="2"/>
      <c r="W16" s="2"/>
    </row>
    <row r="17" spans="2:23">
      <c r="B17" s="390"/>
      <c r="C17" s="183" t="s">
        <v>44</v>
      </c>
      <c r="D17" s="190">
        <v>0</v>
      </c>
      <c r="E17" s="191">
        <v>1</v>
      </c>
      <c r="F17" s="191">
        <v>0</v>
      </c>
      <c r="G17" s="191">
        <v>1</v>
      </c>
      <c r="H17" s="191" cm="1">
        <f t="array" ref="H17">SUM(IF('Consignment and Releases'!H:H="BCTP",'Consignment and Releases'!F:F,0))</f>
        <v>0</v>
      </c>
      <c r="I17" s="192">
        <v>3</v>
      </c>
      <c r="J17" s="30">
        <v>0</v>
      </c>
      <c r="K17" s="30">
        <v>0</v>
      </c>
      <c r="L17" s="30">
        <v>0</v>
      </c>
      <c r="M17" s="30">
        <v>0</v>
      </c>
      <c r="N17" s="30">
        <v>0</v>
      </c>
      <c r="O17" s="30">
        <v>0</v>
      </c>
      <c r="P17" s="196">
        <f t="shared" ref="P17:P23" si="0">SUM(D17:I17)</f>
        <v>5</v>
      </c>
      <c r="Q17" s="2"/>
      <c r="R17" s="2"/>
      <c r="S17" s="2"/>
      <c r="T17" s="2"/>
      <c r="U17" s="2"/>
      <c r="V17" s="2"/>
      <c r="W17" s="2"/>
    </row>
    <row r="18" spans="2:23">
      <c r="B18" s="390"/>
      <c r="C18" s="183" t="s">
        <v>36</v>
      </c>
      <c r="D18" s="116">
        <v>1</v>
      </c>
      <c r="E18" s="30" cm="1">
        <f t="array" ref="E18">SUM(IF('Consignment and Releases'!H:H="Capture Pen Mortality",'Consignment and Releases'!C:C,0))</f>
        <v>0</v>
      </c>
      <c r="F18" s="30" cm="1">
        <f t="array" ref="F18">SUM(IF('Consignment and Releases'!H:H="Capture Pen Mortality",'Consignment and Releases'!D:D,0))</f>
        <v>0</v>
      </c>
      <c r="G18" s="30" cm="1">
        <f t="array" ref="G18">SUM(IF('Consignment and Releases'!H:H="Capture Pen Mortality",'Consignment and Releases'!E:E,0))</f>
        <v>0</v>
      </c>
      <c r="H18" s="30" cm="1">
        <f t="array" ref="H18">SUM(IF('Consignment and Releases'!H:H="Capture Pen Mortality",'Consignment and Releases'!F:F,0))</f>
        <v>0</v>
      </c>
      <c r="I18" s="32" cm="1">
        <f t="array" ref="I18">SUM(IF('Consignment and Releases'!H:H="Capture Pen Mortality",'Consignment and Releases'!G:G,0))</f>
        <v>0</v>
      </c>
      <c r="J18" s="30">
        <v>0</v>
      </c>
      <c r="K18" s="30">
        <v>0</v>
      </c>
      <c r="L18" s="30">
        <v>0</v>
      </c>
      <c r="M18" s="30">
        <v>0</v>
      </c>
      <c r="N18" s="30">
        <v>0</v>
      </c>
      <c r="O18" s="30">
        <v>0</v>
      </c>
      <c r="P18" s="196">
        <f t="shared" si="0"/>
        <v>1</v>
      </c>
      <c r="Q18" s="371"/>
      <c r="R18" s="371"/>
      <c r="S18" s="371"/>
      <c r="T18" s="371"/>
      <c r="U18" s="371"/>
      <c r="V18" s="371"/>
      <c r="W18" s="2"/>
    </row>
    <row r="19" spans="2:23">
      <c r="B19" s="390"/>
      <c r="C19" s="183" t="s">
        <v>42</v>
      </c>
      <c r="D19" s="116" cm="1">
        <f t="array" ref="D19">SUM(IF('Consignment and Releases'!H:H="Management Shooting",'Consignment and Releases'!B:B,0))</f>
        <v>0</v>
      </c>
      <c r="E19" s="30" cm="1">
        <f t="array" ref="E19">SUM(IF('Consignment and Releases'!H:H="Management Shooting",'Consignment and Releases'!C:C,0))</f>
        <v>0</v>
      </c>
      <c r="F19" s="30" cm="1">
        <f t="array" ref="F19">SUM(IF('Consignment and Releases'!H:H="Management Shooting",'Consignment and Releases'!D:D,0))</f>
        <v>0</v>
      </c>
      <c r="G19" s="30" cm="1">
        <f t="array" ref="G19">SUM(IF('Consignment and Releases'!H:H="Management Shooting",'Consignment and Releases'!E:E,0))</f>
        <v>0</v>
      </c>
      <c r="H19" s="30" cm="1">
        <f t="array" ref="H19">SUM(IF('Consignment and Releases'!H:H="Management Shooting",'Consignment and Releases'!F:F,0))</f>
        <v>0</v>
      </c>
      <c r="I19" s="32" cm="1">
        <f t="array" ref="I19">SUM(IF('Consignment and Releases'!H:H="Management Shooting",'Consignment and Releases'!G:G,0))</f>
        <v>0</v>
      </c>
      <c r="J19" s="30">
        <v>0</v>
      </c>
      <c r="K19" s="30">
        <v>0</v>
      </c>
      <c r="L19" s="30">
        <v>0</v>
      </c>
      <c r="M19" s="30">
        <v>0</v>
      </c>
      <c r="N19" s="30">
        <v>0</v>
      </c>
      <c r="O19" s="30">
        <v>0</v>
      </c>
      <c r="P19" s="196">
        <f t="shared" si="0"/>
        <v>0</v>
      </c>
      <c r="Q19" s="2"/>
      <c r="R19" s="2"/>
      <c r="S19" s="2"/>
      <c r="T19" s="2"/>
      <c r="U19" s="2"/>
      <c r="V19" s="2"/>
      <c r="W19" s="2"/>
    </row>
    <row r="20" spans="2:23">
      <c r="B20" s="390"/>
      <c r="C20" s="183" t="s">
        <v>58</v>
      </c>
      <c r="D20" s="116">
        <v>0</v>
      </c>
      <c r="E20" s="30">
        <v>0</v>
      </c>
      <c r="F20" s="30">
        <v>0</v>
      </c>
      <c r="G20" s="30">
        <v>0</v>
      </c>
      <c r="H20" s="30">
        <v>0</v>
      </c>
      <c r="I20" s="32">
        <v>0</v>
      </c>
      <c r="J20" s="30">
        <v>0</v>
      </c>
      <c r="K20" s="30">
        <v>0</v>
      </c>
      <c r="L20" s="30">
        <v>0</v>
      </c>
      <c r="M20" s="30">
        <v>0</v>
      </c>
      <c r="N20" s="30">
        <v>0</v>
      </c>
      <c r="O20" s="30">
        <v>0</v>
      </c>
      <c r="P20" s="196">
        <f t="shared" si="0"/>
        <v>0</v>
      </c>
      <c r="Q20" s="2"/>
      <c r="R20" s="2"/>
      <c r="S20" s="2"/>
      <c r="T20" s="2"/>
      <c r="U20" s="2"/>
      <c r="V20" s="2"/>
      <c r="W20" s="2"/>
    </row>
    <row r="21" spans="2:23">
      <c r="B21" s="390"/>
      <c r="C21" s="183" t="s">
        <v>59</v>
      </c>
      <c r="D21" s="116">
        <v>1</v>
      </c>
      <c r="E21" s="30" cm="1">
        <f t="array" ref="E21">SUM(IF('Consignment and Releases'!H:H="Released",'Consignment and Releases'!C:C,0))</f>
        <v>0</v>
      </c>
      <c r="F21" s="30">
        <v>8</v>
      </c>
      <c r="G21" s="30" cm="1">
        <f t="array" ref="G21">SUM(IF('Consignment and Releases'!H:H="Released",'Consignment and Releases'!E:E,0))</f>
        <v>0</v>
      </c>
      <c r="H21" s="30" cm="1">
        <f t="array" ref="H21">SUM(IF('Consignment and Releases'!H:H="Released",'Consignment and Releases'!F:F,0))</f>
        <v>0</v>
      </c>
      <c r="I21" s="32" cm="1">
        <f t="array" ref="I21">SUM(IF('Consignment and Releases'!H:H="Released",'Consignment and Releases'!G:G,0))</f>
        <v>0</v>
      </c>
      <c r="J21" s="30">
        <v>0</v>
      </c>
      <c r="K21" s="30">
        <v>0</v>
      </c>
      <c r="L21" s="30">
        <v>0</v>
      </c>
      <c r="M21" s="30">
        <v>0</v>
      </c>
      <c r="N21" s="30">
        <v>0</v>
      </c>
      <c r="O21" s="30">
        <v>0</v>
      </c>
      <c r="P21" s="196">
        <f t="shared" si="0"/>
        <v>9</v>
      </c>
      <c r="Q21" s="2"/>
      <c r="R21" s="2"/>
      <c r="S21" s="2"/>
      <c r="T21" s="2"/>
      <c r="U21" s="2"/>
      <c r="V21" s="2"/>
      <c r="W21" s="2"/>
    </row>
    <row r="22" spans="2:23">
      <c r="B22" s="390"/>
      <c r="C22" s="183" t="s">
        <v>60</v>
      </c>
      <c r="D22" s="116" cm="1">
        <f t="array" ref="D22">SUM(IF('Consignment and Releases'!H:H="Hold Bruc Pos",'Consignment and Releases'!B:B,0))</f>
        <v>0</v>
      </c>
      <c r="E22" s="30" cm="1">
        <f t="array" ref="E22">SUM(IF('Consignment and Releases'!H:H="Hold Bruc Pos",'Consignment and Releases'!C:C,0))</f>
        <v>0</v>
      </c>
      <c r="F22" s="30" cm="1">
        <f t="array" ref="F22">SUM(IF('Consignment and Releases'!H:H="Hold Bruc Pos",'Consignment and Releases'!D:D,0))</f>
        <v>0</v>
      </c>
      <c r="G22" s="30" cm="1">
        <f t="array" ref="G22">SUM(IF('Consignment and Releases'!H:H="Hold Bruc Pos",'Consignment and Releases'!E:E,0))</f>
        <v>0</v>
      </c>
      <c r="H22" s="30" cm="1">
        <f t="array" ref="H22">SUM(IF('Consignment and Releases'!H:H="Hold Bruc Pos",'Consignment and Releases'!F:F,0))</f>
        <v>0</v>
      </c>
      <c r="I22" s="32" cm="1">
        <f t="array" ref="I22">SUM(IF('Consignment and Releases'!H:H="Hold Bruc Pos",'Consignment and Releases'!G:G,0))</f>
        <v>0</v>
      </c>
      <c r="J22" s="30">
        <v>0</v>
      </c>
      <c r="K22" s="30">
        <v>0</v>
      </c>
      <c r="L22" s="30">
        <v>0</v>
      </c>
      <c r="M22" s="30">
        <v>0</v>
      </c>
      <c r="N22" s="30">
        <v>0</v>
      </c>
      <c r="O22" s="30">
        <v>0</v>
      </c>
      <c r="P22" s="196">
        <f t="shared" si="0"/>
        <v>0</v>
      </c>
      <c r="Q22" s="2"/>
      <c r="R22" s="2"/>
      <c r="S22" s="2"/>
      <c r="T22" s="2"/>
      <c r="U22" s="2"/>
      <c r="V22" s="2"/>
      <c r="W22" s="2"/>
    </row>
    <row r="23" spans="2:23" ht="14.65" thickBot="1">
      <c r="B23" s="391"/>
      <c r="C23" s="184" t="s">
        <v>61</v>
      </c>
      <c r="D23" s="117" cm="1">
        <f t="array" ref="D23">SUM(IF('Consignment and Releases'!H:H="Hold Bruc Neg",'Consignment and Releases'!B:B,0))</f>
        <v>0</v>
      </c>
      <c r="E23" s="103" cm="1">
        <f t="array" ref="E23">SUM(IF('Consignment and Releases'!H:H="Hold Bruc Neg",'Consignment and Releases'!C:C,0))</f>
        <v>0</v>
      </c>
      <c r="F23" s="103" cm="1">
        <f t="array" ref="F23">SUM(IF('Consignment and Releases'!H:H="Hold Bruc Neg",'Consignment and Releases'!D:D,0))</f>
        <v>0</v>
      </c>
      <c r="G23" s="103" cm="1">
        <f t="array" ref="G23">SUM(IF('Consignment and Releases'!H:H="Hold Bruc Neg",'Consignment and Releases'!E:E,0))</f>
        <v>0</v>
      </c>
      <c r="H23" s="103" cm="1">
        <f t="array" ref="H23">SUM(IF('Consignment and Releases'!H:H="Hold Bruc Neg",'Consignment and Releases'!F:F,0))</f>
        <v>0</v>
      </c>
      <c r="I23" s="104" cm="1">
        <f t="array" ref="I23">SUM(IF('Consignment and Releases'!H:H="Hold Bruc Neg",'Consignment and Releases'!G:G,0))</f>
        <v>0</v>
      </c>
      <c r="J23" s="103">
        <v>0</v>
      </c>
      <c r="K23" s="103">
        <v>0</v>
      </c>
      <c r="L23" s="103">
        <v>0</v>
      </c>
      <c r="M23" s="103">
        <v>0</v>
      </c>
      <c r="N23" s="103">
        <v>0</v>
      </c>
      <c r="O23" s="103">
        <v>0</v>
      </c>
      <c r="P23" s="196">
        <f t="shared" si="0"/>
        <v>0</v>
      </c>
      <c r="Q23" s="2"/>
      <c r="R23" s="2"/>
      <c r="S23" s="2"/>
      <c r="T23" s="2"/>
      <c r="U23" s="2"/>
      <c r="V23" s="2"/>
      <c r="W23" s="2"/>
    </row>
    <row r="24" spans="2:23" ht="14.65" thickBot="1">
      <c r="B24" s="45" t="s">
        <v>62</v>
      </c>
      <c r="C24" s="166" t="s">
        <v>63</v>
      </c>
      <c r="D24" s="163">
        <f>SUM(D4:D15)</f>
        <v>10</v>
      </c>
      <c r="E24" s="164"/>
      <c r="F24" s="164">
        <f>SUM(F4:F15)</f>
        <v>2</v>
      </c>
      <c r="G24" s="164"/>
      <c r="H24" s="164">
        <f>SUM(H4:H15)</f>
        <v>0</v>
      </c>
      <c r="I24" s="165">
        <f>SUM(I4:I15)</f>
        <v>1</v>
      </c>
      <c r="J24" s="118">
        <f>SUM(J4:J15)</f>
        <v>21</v>
      </c>
      <c r="K24" s="105"/>
      <c r="L24" s="105">
        <f>SUM(L4:L15)</f>
        <v>6</v>
      </c>
      <c r="M24" s="105"/>
      <c r="N24" s="105">
        <f>SUM(N4:N15)</f>
        <v>0</v>
      </c>
      <c r="O24" s="105">
        <f>SUM(O4:O15)</f>
        <v>1</v>
      </c>
      <c r="P24" s="197">
        <f>SUM(D24:O24)</f>
        <v>41</v>
      </c>
      <c r="Q24" s="24"/>
      <c r="R24" s="2"/>
      <c r="S24" s="2"/>
      <c r="T24" s="2"/>
      <c r="U24" s="2"/>
      <c r="V24" s="2"/>
      <c r="W24" s="2"/>
    </row>
    <row r="25" spans="2:23" ht="14.65" thickBot="1">
      <c r="B25" s="25"/>
      <c r="C25" s="111" t="s">
        <v>64</v>
      </c>
      <c r="D25" s="115">
        <f t="shared" ref="D25:O25" si="1">SUM(D16:D19)</f>
        <v>6</v>
      </c>
      <c r="E25" s="101">
        <f t="shared" si="1"/>
        <v>2</v>
      </c>
      <c r="F25" s="101">
        <f t="shared" si="1"/>
        <v>7</v>
      </c>
      <c r="G25" s="101">
        <f t="shared" si="1"/>
        <v>1</v>
      </c>
      <c r="H25" s="101">
        <f t="shared" si="1"/>
        <v>0</v>
      </c>
      <c r="I25" s="102">
        <f t="shared" si="1"/>
        <v>4</v>
      </c>
      <c r="J25" s="108">
        <f t="shared" si="1"/>
        <v>0</v>
      </c>
      <c r="K25" s="106">
        <f t="shared" si="1"/>
        <v>0</v>
      </c>
      <c r="L25" s="106">
        <f t="shared" si="1"/>
        <v>0</v>
      </c>
      <c r="M25" s="106">
        <f t="shared" si="1"/>
        <v>0</v>
      </c>
      <c r="N25" s="106">
        <f t="shared" si="1"/>
        <v>0</v>
      </c>
      <c r="O25" s="107">
        <f t="shared" si="1"/>
        <v>0</v>
      </c>
      <c r="P25" s="2"/>
    </row>
    <row r="26" spans="2:23" ht="14.65" thickBot="1">
      <c r="B26" s="25"/>
      <c r="C26" s="185" t="s">
        <v>65</v>
      </c>
      <c r="D26" s="108">
        <f>SUM(D20:D23)</f>
        <v>1</v>
      </c>
      <c r="E26" s="106">
        <f t="shared" ref="E26:O26" si="2">SUM(E20:E23)</f>
        <v>0</v>
      </c>
      <c r="F26" s="106">
        <f t="shared" si="2"/>
        <v>8</v>
      </c>
      <c r="G26" s="106">
        <f t="shared" si="2"/>
        <v>0</v>
      </c>
      <c r="H26" s="106">
        <f t="shared" si="2"/>
        <v>0</v>
      </c>
      <c r="I26" s="107">
        <f t="shared" si="2"/>
        <v>0</v>
      </c>
      <c r="J26" s="108">
        <f t="shared" si="2"/>
        <v>0</v>
      </c>
      <c r="K26" s="106">
        <f t="shared" si="2"/>
        <v>0</v>
      </c>
      <c r="L26" s="106">
        <f t="shared" si="2"/>
        <v>0</v>
      </c>
      <c r="M26" s="106">
        <f t="shared" si="2"/>
        <v>0</v>
      </c>
      <c r="N26" s="106">
        <f t="shared" si="2"/>
        <v>0</v>
      </c>
      <c r="O26" s="107">
        <f t="shared" si="2"/>
        <v>0</v>
      </c>
      <c r="P26" s="2"/>
    </row>
    <row r="27" spans="2:23" ht="14.65" thickBot="1">
      <c r="B27" s="25"/>
      <c r="C27" s="112" t="s">
        <v>66</v>
      </c>
      <c r="D27" s="103">
        <f>SUM(D24:D26)</f>
        <v>17</v>
      </c>
      <c r="E27" s="103">
        <f t="shared" ref="E27:I27" si="3">SUM(E24:E26)</f>
        <v>2</v>
      </c>
      <c r="F27" s="103">
        <f t="shared" si="3"/>
        <v>17</v>
      </c>
      <c r="G27" s="103">
        <f t="shared" si="3"/>
        <v>1</v>
      </c>
      <c r="H27" s="103">
        <f t="shared" si="3"/>
        <v>0</v>
      </c>
      <c r="I27" s="103">
        <f t="shared" si="3"/>
        <v>5</v>
      </c>
      <c r="J27" s="108">
        <f t="shared" ref="J27" si="4">SUM(J24:J26)</f>
        <v>21</v>
      </c>
      <c r="K27" s="106">
        <f t="shared" ref="K27" si="5">SUM(K24:K26)</f>
        <v>0</v>
      </c>
      <c r="L27" s="106">
        <f t="shared" ref="L27" si="6">SUM(L24:L26)</f>
        <v>6</v>
      </c>
      <c r="M27" s="106">
        <f t="shared" ref="M27" si="7">SUM(M24:M26)</f>
        <v>0</v>
      </c>
      <c r="N27" s="106">
        <f t="shared" ref="N27" si="8">SUM(N24:N26)</f>
        <v>0</v>
      </c>
      <c r="O27" s="107">
        <f t="shared" ref="O27" si="9">SUM(O24:O26)</f>
        <v>1</v>
      </c>
      <c r="P27" s="2"/>
    </row>
    <row r="28" spans="2:23" ht="14.65" thickBot="1">
      <c r="B28" s="26"/>
      <c r="C28" s="113">
        <f>SUM(D28:O28)</f>
        <v>70</v>
      </c>
      <c r="D28" s="377">
        <f>SUM(D27:I27)</f>
        <v>42</v>
      </c>
      <c r="E28" s="377"/>
      <c r="F28" s="377"/>
      <c r="G28" s="377"/>
      <c r="H28" s="377"/>
      <c r="I28" s="377"/>
      <c r="J28" s="378">
        <f>SUM(J27:O27)</f>
        <v>28</v>
      </c>
      <c r="K28" s="377"/>
      <c r="L28" s="377"/>
      <c r="M28" s="377"/>
      <c r="N28" s="377"/>
      <c r="O28" s="379"/>
      <c r="P28" s="252">
        <f>SUM(P16:P18,P24)</f>
        <v>61</v>
      </c>
    </row>
    <row r="29" spans="2:23" ht="14.65">
      <c r="B29" s="12" t="s">
        <v>67</v>
      </c>
      <c r="C29" s="33"/>
      <c r="D29" s="33"/>
      <c r="E29" s="33"/>
      <c r="F29" s="33"/>
      <c r="G29" s="33"/>
      <c r="H29" s="33"/>
      <c r="I29" s="33"/>
      <c r="J29" s="2"/>
      <c r="K29" s="2"/>
      <c r="L29" s="2"/>
      <c r="M29" s="2"/>
      <c r="N29" s="2"/>
      <c r="O29" s="2"/>
    </row>
    <row r="30" spans="2:23" ht="14.65">
      <c r="B30" s="12" t="s">
        <v>68</v>
      </c>
      <c r="C30" s="33"/>
      <c r="D30" s="33"/>
      <c r="E30" s="33"/>
      <c r="F30" s="33"/>
      <c r="G30" s="33"/>
      <c r="H30" s="33"/>
      <c r="I30" s="33"/>
      <c r="J30" s="2"/>
      <c r="K30" s="2"/>
      <c r="L30" s="2"/>
      <c r="M30" s="2"/>
      <c r="N30" s="2"/>
      <c r="O30" s="2"/>
    </row>
    <row r="31" spans="2:23">
      <c r="B31" s="12"/>
      <c r="C31" s="33"/>
      <c r="D31" s="33"/>
      <c r="E31" s="33"/>
      <c r="F31" s="33"/>
      <c r="G31" s="33"/>
      <c r="H31" s="33"/>
      <c r="I31" s="33"/>
      <c r="J31" s="2"/>
      <c r="K31" s="2"/>
      <c r="L31" s="2"/>
      <c r="M31" s="2"/>
      <c r="N31" s="2"/>
      <c r="O31" s="2"/>
    </row>
    <row r="32" spans="2:23" s="2" customFormat="1">
      <c r="B32" s="12"/>
    </row>
    <row r="33" spans="2:2" s="2" customFormat="1">
      <c r="B33" s="12"/>
    </row>
    <row r="34" spans="2:2" s="2" customFormat="1">
      <c r="B34" s="12"/>
    </row>
    <row r="35" spans="2:2" s="2" customFormat="1">
      <c r="B35" s="12"/>
    </row>
    <row r="36" spans="2:2" s="2" customFormat="1">
      <c r="B36" s="12"/>
    </row>
    <row r="37" spans="2:2" s="2" customFormat="1">
      <c r="B37" s="12"/>
    </row>
    <row r="38" spans="2:2" s="2" customFormat="1"/>
    <row r="39" spans="2:2" s="2" customFormat="1"/>
    <row r="40" spans="2:2" s="2" customFormat="1"/>
    <row r="41" spans="2:2" s="2" customFormat="1"/>
    <row r="42" spans="2:2" s="2" customFormat="1"/>
    <row r="43" spans="2:2" s="2" customFormat="1"/>
    <row r="44" spans="2:2" s="2" customFormat="1"/>
    <row r="45" spans="2:2" s="2" customFormat="1"/>
    <row r="46" spans="2:2" s="2" customFormat="1"/>
    <row r="47" spans="2:2" s="2" customFormat="1"/>
    <row r="48" spans="2:2" s="2" customFormat="1"/>
    <row r="49" spans="2:15" s="2" customFormat="1"/>
    <row r="50" spans="2:15" s="2" customFormat="1"/>
    <row r="51" spans="2:15" s="2" customFormat="1"/>
    <row r="52" spans="2:15" s="2" customFormat="1"/>
    <row r="53" spans="2:15" s="2" customFormat="1"/>
    <row r="54" spans="2:15" s="2" customFormat="1"/>
    <row r="55" spans="2:15" s="2" customFormat="1">
      <c r="B55" s="3"/>
      <c r="C55" s="3"/>
      <c r="D55" s="3"/>
      <c r="E55" s="3"/>
      <c r="F55" s="3"/>
      <c r="G55" s="3"/>
      <c r="H55" s="3"/>
      <c r="I55" s="3"/>
      <c r="J55" s="3"/>
      <c r="K55" s="3"/>
      <c r="L55" s="3"/>
      <c r="M55" s="3"/>
      <c r="N55" s="3"/>
      <c r="O55" s="3"/>
    </row>
    <row r="56" spans="2:15" s="2" customFormat="1">
      <c r="B56" s="3"/>
      <c r="C56" s="3"/>
      <c r="D56" s="3"/>
      <c r="E56" s="3"/>
      <c r="F56" s="3"/>
      <c r="G56" s="3"/>
      <c r="H56" s="3"/>
      <c r="I56" s="3"/>
      <c r="J56" s="3"/>
      <c r="K56" s="3"/>
      <c r="L56" s="3"/>
      <c r="M56" s="3"/>
      <c r="N56" s="3"/>
      <c r="O56" s="3"/>
    </row>
    <row r="57" spans="2:15" s="2" customFormat="1">
      <c r="B57" s="3"/>
      <c r="C57" s="3"/>
      <c r="D57" s="3"/>
      <c r="E57" s="3"/>
      <c r="F57" s="3"/>
      <c r="G57" s="3"/>
      <c r="H57" s="3"/>
      <c r="I57" s="3"/>
      <c r="J57" s="3"/>
      <c r="K57" s="3"/>
      <c r="L57" s="3"/>
      <c r="M57" s="3"/>
      <c r="N57" s="3"/>
      <c r="O57" s="3"/>
    </row>
  </sheetData>
  <mergeCells count="15">
    <mergeCell ref="Q18:V18"/>
    <mergeCell ref="Q15:V15"/>
    <mergeCell ref="B1:B3"/>
    <mergeCell ref="L2:M2"/>
    <mergeCell ref="D28:I28"/>
    <mergeCell ref="J28:O28"/>
    <mergeCell ref="D1:I1"/>
    <mergeCell ref="J1:O1"/>
    <mergeCell ref="D2:E2"/>
    <mergeCell ref="N2:O2"/>
    <mergeCell ref="F2:G2"/>
    <mergeCell ref="H2:I2"/>
    <mergeCell ref="J2:K2"/>
    <mergeCell ref="C1:C3"/>
    <mergeCell ref="B4:B23"/>
  </mergeCells>
  <pageMargins left="0.7" right="0.7" top="0.75" bottom="0.75" header="0.3" footer="0.3"/>
  <pageSetup scale="97"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BC328-AA5E-446D-9094-24E7CB8BA6BE}">
  <dimension ref="A1:AP188"/>
  <sheetViews>
    <sheetView showWhiteSpace="0" topLeftCell="A37" zoomScale="85" zoomScaleNormal="85" workbookViewId="0">
      <selection activeCell="A75" sqref="A75"/>
    </sheetView>
  </sheetViews>
  <sheetFormatPr defaultColWidth="8.85546875" defaultRowHeight="14.45"/>
  <cols>
    <col min="1" max="1" width="12.7109375" customWidth="1"/>
    <col min="2" max="2" width="12.28515625" customWidth="1"/>
    <col min="3" max="3" width="6.5703125" bestFit="1" customWidth="1"/>
    <col min="4" max="4" width="5.7109375" customWidth="1"/>
    <col min="5" max="5" width="5.140625" customWidth="1"/>
    <col min="6" max="6" width="8.28515625" customWidth="1"/>
    <col min="7" max="8" width="5.140625" customWidth="1"/>
    <col min="9" max="9" width="7.42578125" customWidth="1"/>
    <col min="10" max="10" width="8" customWidth="1"/>
    <col min="11" max="11" width="8" style="123" customWidth="1"/>
    <col min="12" max="12" width="8.140625" style="123" customWidth="1"/>
    <col min="13" max="13" width="8.28515625" style="123" customWidth="1"/>
    <col min="14" max="14" width="7.28515625" style="123" customWidth="1"/>
    <col min="15" max="18" width="8.85546875" customWidth="1"/>
    <col min="19" max="19" width="9.5703125" customWidth="1"/>
    <col min="20" max="20" width="8.85546875" customWidth="1"/>
    <col min="21" max="21" width="10" customWidth="1"/>
    <col min="22" max="23" width="8.85546875" customWidth="1"/>
    <col min="26" max="26" width="100.85546875" bestFit="1" customWidth="1"/>
    <col min="39" max="39" width="28.7109375" bestFit="1" customWidth="1"/>
  </cols>
  <sheetData>
    <row r="1" spans="1:42">
      <c r="A1" s="373" t="s">
        <v>69</v>
      </c>
      <c r="B1" s="418"/>
      <c r="C1" s="417" t="s">
        <v>9</v>
      </c>
      <c r="D1" s="413"/>
      <c r="E1" s="413"/>
      <c r="F1" s="413"/>
      <c r="G1" s="413" t="s">
        <v>10</v>
      </c>
      <c r="H1" s="413"/>
      <c r="I1" s="413"/>
      <c r="J1" s="414"/>
      <c r="K1" s="251"/>
      <c r="L1" s="409"/>
      <c r="M1" s="409"/>
      <c r="N1" s="409"/>
      <c r="AM1" s="202"/>
      <c r="AN1" s="203"/>
      <c r="AO1" s="203"/>
      <c r="AP1" s="203"/>
    </row>
    <row r="2" spans="1:42">
      <c r="A2" s="374"/>
      <c r="B2" s="419"/>
      <c r="C2" s="55" t="s">
        <v>3</v>
      </c>
      <c r="D2" s="248" t="s">
        <v>4</v>
      </c>
      <c r="E2" s="411" t="s">
        <v>13</v>
      </c>
      <c r="F2" s="412"/>
      <c r="G2" s="55" t="s">
        <v>3</v>
      </c>
      <c r="H2" s="248" t="s">
        <v>4</v>
      </c>
      <c r="I2" s="411" t="s">
        <v>13</v>
      </c>
      <c r="J2" s="412"/>
      <c r="K2" s="119"/>
      <c r="L2" s="12"/>
      <c r="M2" s="119"/>
      <c r="N2" s="12"/>
      <c r="S2" s="194"/>
      <c r="AM2" s="201"/>
      <c r="AN2" s="203"/>
      <c r="AO2" s="203"/>
      <c r="AP2" s="203"/>
    </row>
    <row r="3" spans="1:42" ht="29.1" thickBot="1">
      <c r="A3" s="420"/>
      <c r="B3" s="421"/>
      <c r="C3" s="56" t="s">
        <v>5</v>
      </c>
      <c r="D3" s="57" t="s">
        <v>5</v>
      </c>
      <c r="E3" s="57" t="s">
        <v>13</v>
      </c>
      <c r="F3" s="58" t="s">
        <v>7</v>
      </c>
      <c r="G3" s="56" t="s">
        <v>5</v>
      </c>
      <c r="H3" s="57" t="s">
        <v>5</v>
      </c>
      <c r="I3" s="57" t="s">
        <v>13</v>
      </c>
      <c r="J3" s="58" t="s">
        <v>7</v>
      </c>
      <c r="K3" s="205" t="s">
        <v>70</v>
      </c>
      <c r="L3" s="205" t="s">
        <v>71</v>
      </c>
      <c r="M3" s="206" t="s">
        <v>66</v>
      </c>
      <c r="N3" s="129" t="s">
        <v>72</v>
      </c>
      <c r="O3" s="129"/>
      <c r="P3" s="129" t="s">
        <v>73</v>
      </c>
      <c r="AM3" s="201"/>
      <c r="AN3" s="203"/>
      <c r="AO3" s="203"/>
      <c r="AP3" s="203"/>
    </row>
    <row r="4" spans="1:42">
      <c r="A4" s="422" t="s">
        <v>74</v>
      </c>
      <c r="B4" s="423"/>
      <c r="C4" s="246">
        <v>0</v>
      </c>
      <c r="D4" s="33">
        <v>0</v>
      </c>
      <c r="E4" s="33">
        <v>0</v>
      </c>
      <c r="F4" s="247">
        <v>0</v>
      </c>
      <c r="G4" s="246"/>
      <c r="H4" s="33"/>
      <c r="I4" s="33"/>
      <c r="J4" s="33"/>
      <c r="K4" s="207">
        <f>SUM(C4:F4)</f>
        <v>0</v>
      </c>
      <c r="L4" s="207">
        <f>SUM(G4:J4)</f>
        <v>0</v>
      </c>
      <c r="M4" s="207">
        <f>SUM(C4:J4)</f>
        <v>0</v>
      </c>
      <c r="N4" s="198"/>
      <c r="O4" s="12"/>
      <c r="P4" s="123"/>
      <c r="AM4" s="201"/>
      <c r="AN4" s="203"/>
      <c r="AO4" s="203"/>
      <c r="AP4" s="203"/>
    </row>
    <row r="5" spans="1:42">
      <c r="A5" s="424" t="s">
        <v>75</v>
      </c>
      <c r="B5" s="425"/>
      <c r="C5" s="246">
        <v>0</v>
      </c>
      <c r="D5" s="33">
        <v>0</v>
      </c>
      <c r="E5" s="33">
        <v>0</v>
      </c>
      <c r="F5" s="247">
        <v>0</v>
      </c>
      <c r="G5" s="246"/>
      <c r="H5" s="33"/>
      <c r="I5" s="33"/>
      <c r="J5" s="33"/>
      <c r="K5" s="207">
        <f t="shared" ref="K5:K17" si="0">SUM(C5:F5)</f>
        <v>0</v>
      </c>
      <c r="L5" s="207">
        <f t="shared" ref="L5:L17" si="1">SUM(G5:J5)</f>
        <v>0</v>
      </c>
      <c r="M5" s="207">
        <f t="shared" ref="M5:M17" si="2">SUM(C5:J5)</f>
        <v>0</v>
      </c>
      <c r="N5" s="199"/>
      <c r="O5" s="33"/>
      <c r="P5" s="33"/>
      <c r="AM5" s="201"/>
      <c r="AN5" s="203"/>
      <c r="AO5" s="203"/>
      <c r="AP5" s="203"/>
    </row>
    <row r="6" spans="1:42">
      <c r="A6" s="424" t="s">
        <v>76</v>
      </c>
      <c r="B6" s="425"/>
      <c r="C6" s="246">
        <v>3</v>
      </c>
      <c r="D6" s="33">
        <v>1</v>
      </c>
      <c r="E6" s="33">
        <v>0</v>
      </c>
      <c r="F6" s="247">
        <v>1</v>
      </c>
      <c r="G6" s="246"/>
      <c r="H6" s="33"/>
      <c r="I6" s="33"/>
      <c r="J6" s="33"/>
      <c r="K6" s="207">
        <f t="shared" si="0"/>
        <v>5</v>
      </c>
      <c r="L6" s="207">
        <f t="shared" si="1"/>
        <v>0</v>
      </c>
      <c r="M6" s="207">
        <f t="shared" si="2"/>
        <v>5</v>
      </c>
      <c r="N6" s="200"/>
      <c r="O6" s="33"/>
      <c r="P6" s="12"/>
      <c r="AM6" s="201"/>
      <c r="AN6" s="203"/>
      <c r="AO6" s="203"/>
      <c r="AP6" s="203"/>
    </row>
    <row r="7" spans="1:42">
      <c r="A7" s="424" t="s">
        <v>77</v>
      </c>
      <c r="B7" s="425"/>
      <c r="C7" s="246">
        <v>0</v>
      </c>
      <c r="D7" s="33">
        <v>0</v>
      </c>
      <c r="E7" s="33">
        <v>0</v>
      </c>
      <c r="F7" s="247">
        <v>0</v>
      </c>
      <c r="G7" s="246"/>
      <c r="H7" s="33"/>
      <c r="I7" s="33"/>
      <c r="J7" s="33"/>
      <c r="K7" s="207">
        <f t="shared" si="0"/>
        <v>0</v>
      </c>
      <c r="L7" s="207">
        <f t="shared" si="1"/>
        <v>0</v>
      </c>
      <c r="M7" s="207">
        <f t="shared" si="2"/>
        <v>0</v>
      </c>
      <c r="N7" s="200"/>
      <c r="O7" s="33"/>
      <c r="P7" s="12"/>
      <c r="AM7" s="201"/>
      <c r="AN7" s="203"/>
      <c r="AO7" s="203"/>
      <c r="AP7" s="203"/>
    </row>
    <row r="8" spans="1:42">
      <c r="A8" s="424" t="s">
        <v>78</v>
      </c>
      <c r="B8" s="425"/>
      <c r="C8" s="246">
        <v>0</v>
      </c>
      <c r="D8" s="33">
        <v>0</v>
      </c>
      <c r="E8" s="33">
        <v>0</v>
      </c>
      <c r="F8" s="247">
        <v>0</v>
      </c>
      <c r="G8" s="246"/>
      <c r="H8" s="33"/>
      <c r="I8" s="33"/>
      <c r="J8" s="33"/>
      <c r="K8" s="207">
        <f t="shared" si="0"/>
        <v>0</v>
      </c>
      <c r="L8" s="207">
        <f t="shared" si="1"/>
        <v>0</v>
      </c>
      <c r="M8" s="207">
        <f t="shared" si="2"/>
        <v>0</v>
      </c>
      <c r="N8" s="199"/>
      <c r="O8" s="33"/>
      <c r="P8" s="12"/>
      <c r="AM8" s="201"/>
      <c r="AN8" s="203"/>
      <c r="AO8" s="203"/>
      <c r="AP8" s="203"/>
    </row>
    <row r="9" spans="1:42">
      <c r="A9" s="424" t="s">
        <v>79</v>
      </c>
      <c r="B9" s="425"/>
      <c r="C9" s="246">
        <v>0</v>
      </c>
      <c r="D9" s="33">
        <v>0</v>
      </c>
      <c r="E9" s="33">
        <v>0</v>
      </c>
      <c r="F9" s="247">
        <v>0</v>
      </c>
      <c r="G9" s="246"/>
      <c r="H9" s="33"/>
      <c r="I9" s="33"/>
      <c r="J9" s="33"/>
      <c r="K9" s="207">
        <f t="shared" si="0"/>
        <v>0</v>
      </c>
      <c r="L9" s="207">
        <f t="shared" si="1"/>
        <v>0</v>
      </c>
      <c r="M9" s="207">
        <f t="shared" si="2"/>
        <v>0</v>
      </c>
      <c r="N9" s="199"/>
      <c r="O9" s="12"/>
      <c r="P9" s="12"/>
      <c r="AM9" s="201"/>
      <c r="AN9" s="203"/>
      <c r="AO9" s="203"/>
      <c r="AP9" s="203"/>
    </row>
    <row r="10" spans="1:42">
      <c r="A10" s="424" t="s">
        <v>80</v>
      </c>
      <c r="B10" s="425"/>
      <c r="C10" s="246">
        <v>0</v>
      </c>
      <c r="D10" s="33">
        <v>0</v>
      </c>
      <c r="E10" s="33">
        <v>0</v>
      </c>
      <c r="F10" s="247">
        <v>0</v>
      </c>
      <c r="G10" s="246"/>
      <c r="H10" s="33"/>
      <c r="I10" s="33"/>
      <c r="J10" s="33"/>
      <c r="K10" s="207">
        <f t="shared" si="0"/>
        <v>0</v>
      </c>
      <c r="L10" s="207">
        <f t="shared" si="1"/>
        <v>0</v>
      </c>
      <c r="M10" s="207">
        <f t="shared" si="2"/>
        <v>0</v>
      </c>
      <c r="N10" s="200"/>
      <c r="O10" s="12"/>
      <c r="P10" s="12"/>
      <c r="AM10" s="201"/>
      <c r="AN10" s="203"/>
      <c r="AO10" s="203"/>
      <c r="AP10" s="203"/>
    </row>
    <row r="11" spans="1:42">
      <c r="A11" s="424" t="s">
        <v>81</v>
      </c>
      <c r="B11" s="425"/>
      <c r="C11" s="246">
        <v>0</v>
      </c>
      <c r="D11" s="33">
        <v>0</v>
      </c>
      <c r="E11" s="33">
        <v>0</v>
      </c>
      <c r="F11" s="247">
        <v>0</v>
      </c>
      <c r="G11" s="246"/>
      <c r="H11" s="33"/>
      <c r="I11" s="33"/>
      <c r="J11" s="33"/>
      <c r="K11" s="207">
        <f t="shared" si="0"/>
        <v>0</v>
      </c>
      <c r="L11" s="207">
        <f t="shared" si="1"/>
        <v>0</v>
      </c>
      <c r="M11" s="207">
        <f t="shared" si="2"/>
        <v>0</v>
      </c>
      <c r="N11" s="200"/>
      <c r="O11" s="12"/>
      <c r="P11" s="12"/>
      <c r="AM11" s="201"/>
      <c r="AN11" s="203"/>
      <c r="AO11" s="203"/>
      <c r="AP11" s="203"/>
    </row>
    <row r="12" spans="1:42">
      <c r="A12" s="424" t="s">
        <v>82</v>
      </c>
      <c r="B12" s="425"/>
      <c r="C12" s="246">
        <v>0</v>
      </c>
      <c r="D12" s="33">
        <v>0</v>
      </c>
      <c r="E12" s="33">
        <v>0</v>
      </c>
      <c r="F12" s="247">
        <v>0</v>
      </c>
      <c r="G12" s="246"/>
      <c r="H12" s="33"/>
      <c r="I12" s="33"/>
      <c r="J12" s="33"/>
      <c r="K12" s="207">
        <f t="shared" si="0"/>
        <v>0</v>
      </c>
      <c r="L12" s="207">
        <f t="shared" si="1"/>
        <v>0</v>
      </c>
      <c r="M12" s="207">
        <f t="shared" si="2"/>
        <v>0</v>
      </c>
      <c r="N12" s="200"/>
      <c r="O12" s="12"/>
      <c r="P12" s="12"/>
      <c r="AM12" s="201"/>
      <c r="AN12" s="203"/>
      <c r="AO12" s="203"/>
      <c r="AP12" s="203"/>
    </row>
    <row r="13" spans="1:42">
      <c r="A13" s="424" t="s">
        <v>83</v>
      </c>
      <c r="B13" s="425"/>
      <c r="C13" s="246">
        <v>0</v>
      </c>
      <c r="D13" s="33">
        <v>0</v>
      </c>
      <c r="E13" s="33">
        <v>0</v>
      </c>
      <c r="F13" s="247">
        <v>0</v>
      </c>
      <c r="G13" s="246"/>
      <c r="H13" s="33"/>
      <c r="I13" s="33"/>
      <c r="J13" s="33"/>
      <c r="K13" s="207">
        <f t="shared" si="0"/>
        <v>0</v>
      </c>
      <c r="L13" s="207">
        <f t="shared" si="1"/>
        <v>0</v>
      </c>
      <c r="M13" s="207">
        <f t="shared" si="2"/>
        <v>0</v>
      </c>
      <c r="N13" s="199"/>
      <c r="O13" s="12"/>
      <c r="P13" s="12"/>
      <c r="AM13" s="201"/>
      <c r="AN13" s="203"/>
      <c r="AO13" s="203"/>
      <c r="AP13" s="203"/>
    </row>
    <row r="14" spans="1:42">
      <c r="A14" s="424" t="s">
        <v>84</v>
      </c>
      <c r="B14" s="425"/>
      <c r="C14" s="246">
        <v>0</v>
      </c>
      <c r="D14" s="33">
        <v>0</v>
      </c>
      <c r="E14" s="33">
        <v>0</v>
      </c>
      <c r="F14" s="247">
        <v>0</v>
      </c>
      <c r="G14" s="246"/>
      <c r="H14" s="33"/>
      <c r="I14" s="33"/>
      <c r="J14" s="33"/>
      <c r="K14" s="207">
        <f t="shared" si="0"/>
        <v>0</v>
      </c>
      <c r="L14" s="207">
        <f t="shared" si="1"/>
        <v>0</v>
      </c>
      <c r="M14" s="207">
        <f t="shared" si="2"/>
        <v>0</v>
      </c>
      <c r="N14" s="199"/>
      <c r="O14" s="12"/>
      <c r="P14" s="12"/>
      <c r="AM14" s="201"/>
      <c r="AN14" s="203"/>
      <c r="AO14" s="203"/>
      <c r="AP14" s="203"/>
    </row>
    <row r="15" spans="1:42">
      <c r="A15" s="424" t="s">
        <v>85</v>
      </c>
      <c r="B15" s="425"/>
      <c r="C15" s="246">
        <v>0</v>
      </c>
      <c r="D15" s="33">
        <v>0</v>
      </c>
      <c r="E15" s="33">
        <v>0</v>
      </c>
      <c r="F15" s="247">
        <v>0</v>
      </c>
      <c r="G15" s="246"/>
      <c r="H15" s="33"/>
      <c r="I15" s="33"/>
      <c r="J15" s="33"/>
      <c r="K15" s="207">
        <f t="shared" si="0"/>
        <v>0</v>
      </c>
      <c r="L15" s="207">
        <f t="shared" si="1"/>
        <v>0</v>
      </c>
      <c r="M15" s="207">
        <f t="shared" si="2"/>
        <v>0</v>
      </c>
      <c r="N15" s="199"/>
      <c r="O15" s="12"/>
      <c r="P15" s="12"/>
      <c r="AN15" s="204"/>
      <c r="AO15" s="204"/>
      <c r="AP15" s="204"/>
    </row>
    <row r="16" spans="1:42" ht="14.65" thickBot="1">
      <c r="A16" s="424" t="s">
        <v>86</v>
      </c>
      <c r="B16" s="425"/>
      <c r="C16" s="246">
        <v>0</v>
      </c>
      <c r="D16" s="33">
        <v>0</v>
      </c>
      <c r="E16" s="33">
        <v>0</v>
      </c>
      <c r="F16" s="247">
        <v>0</v>
      </c>
      <c r="G16" s="246"/>
      <c r="H16" s="33"/>
      <c r="I16" s="33"/>
      <c r="J16" s="33"/>
      <c r="K16" s="207">
        <f t="shared" si="0"/>
        <v>0</v>
      </c>
      <c r="L16" s="207">
        <f t="shared" si="1"/>
        <v>0</v>
      </c>
      <c r="M16" s="207">
        <f t="shared" si="2"/>
        <v>0</v>
      </c>
      <c r="N16" s="199"/>
      <c r="O16" s="12"/>
      <c r="P16" s="12"/>
    </row>
    <row r="17" spans="1:26" ht="14.65" thickBot="1">
      <c r="A17" s="429" t="s">
        <v>62</v>
      </c>
      <c r="B17" s="430"/>
      <c r="C17" s="249">
        <f t="shared" ref="C17:J17" si="3">SUM(C4:C16)</f>
        <v>3</v>
      </c>
      <c r="D17" s="54">
        <f t="shared" si="3"/>
        <v>1</v>
      </c>
      <c r="E17" s="54">
        <f t="shared" si="3"/>
        <v>0</v>
      </c>
      <c r="F17" s="250">
        <f t="shared" si="3"/>
        <v>1</v>
      </c>
      <c r="G17" s="249">
        <f t="shared" si="3"/>
        <v>0</v>
      </c>
      <c r="H17" s="54">
        <f t="shared" si="3"/>
        <v>0</v>
      </c>
      <c r="I17" s="54">
        <f t="shared" si="3"/>
        <v>0</v>
      </c>
      <c r="J17" s="54">
        <f t="shared" si="3"/>
        <v>0</v>
      </c>
      <c r="K17" s="207">
        <f t="shared" si="0"/>
        <v>5</v>
      </c>
      <c r="L17" s="207">
        <f t="shared" si="1"/>
        <v>0</v>
      </c>
      <c r="M17" s="207">
        <f t="shared" si="2"/>
        <v>5</v>
      </c>
      <c r="N17" s="251"/>
      <c r="O17" s="12"/>
      <c r="P17" s="12"/>
    </row>
    <row r="18" spans="1:26" ht="14.65" thickBot="1">
      <c r="A18" s="427" t="s">
        <v>24</v>
      </c>
      <c r="B18" s="428"/>
      <c r="C18" s="426">
        <f>SUM(C17:F17)</f>
        <v>5</v>
      </c>
      <c r="D18" s="415"/>
      <c r="E18" s="415"/>
      <c r="F18" s="416"/>
      <c r="G18" s="415">
        <f>SUM(G17:J17)</f>
        <v>0</v>
      </c>
      <c r="H18" s="415"/>
      <c r="I18" s="415"/>
      <c r="J18" s="416"/>
      <c r="K18" s="206"/>
      <c r="L18" s="206"/>
      <c r="M18" s="206"/>
      <c r="N18" s="251"/>
      <c r="O18" s="12"/>
      <c r="P18" s="12"/>
    </row>
    <row r="19" spans="1:26">
      <c r="A19" s="53"/>
      <c r="B19" s="125" t="s">
        <v>87</v>
      </c>
      <c r="C19" s="395"/>
      <c r="D19" s="395"/>
      <c r="E19" s="125"/>
      <c r="F19" s="127"/>
      <c r="G19" s="127"/>
      <c r="H19" s="128" t="s">
        <v>88</v>
      </c>
      <c r="I19" s="396">
        <f>SUM((C18,G18))</f>
        <v>5</v>
      </c>
      <c r="J19" s="396"/>
      <c r="K19" s="404"/>
      <c r="L19" s="404"/>
      <c r="M19" s="120"/>
      <c r="N19" s="120"/>
      <c r="O19" s="60"/>
      <c r="P19" s="60"/>
    </row>
    <row r="20" spans="1:26">
      <c r="A20" s="51"/>
      <c r="B20" s="51"/>
      <c r="C20" s="51"/>
      <c r="D20" s="51"/>
      <c r="E20" s="126"/>
      <c r="F20" s="51"/>
      <c r="G20" s="51"/>
      <c r="H20" s="124" t="s">
        <v>89</v>
      </c>
      <c r="I20" s="397">
        <f>SUM(G25:H164)</f>
        <v>13</v>
      </c>
      <c r="J20" s="397"/>
      <c r="K20" s="121"/>
      <c r="L20" s="121"/>
      <c r="M20" s="121"/>
      <c r="N20" s="122"/>
      <c r="O20" s="61"/>
      <c r="P20" s="61"/>
    </row>
    <row r="21" spans="1:26">
      <c r="A21" s="62" t="s">
        <v>90</v>
      </c>
      <c r="B21" s="52"/>
      <c r="C21" s="52"/>
      <c r="D21" s="52"/>
      <c r="E21" s="52"/>
      <c r="F21" s="52"/>
      <c r="G21" s="52"/>
      <c r="H21" s="52"/>
      <c r="I21" s="52"/>
      <c r="J21" s="52"/>
      <c r="K21" s="122"/>
      <c r="L21" s="122"/>
      <c r="M21" s="122"/>
      <c r="N21" s="122"/>
      <c r="O21" s="59"/>
      <c r="P21" s="59"/>
    </row>
    <row r="22" spans="1:26" ht="14.65" thickBot="1">
      <c r="A22" s="410" t="s">
        <v>91</v>
      </c>
      <c r="B22" s="410"/>
      <c r="C22" s="410"/>
      <c r="D22" s="410"/>
      <c r="E22" s="410"/>
      <c r="F22" s="410"/>
      <c r="G22" s="410"/>
      <c r="H22" s="410"/>
      <c r="I22" s="410"/>
      <c r="J22" s="410"/>
      <c r="K22" s="410"/>
      <c r="L22" s="410"/>
      <c r="M22" s="410"/>
      <c r="N22" s="410"/>
      <c r="O22" s="59"/>
      <c r="P22" s="59"/>
    </row>
    <row r="23" spans="1:26" ht="14.65" thickBot="1">
      <c r="I23" s="406" t="s">
        <v>92</v>
      </c>
      <c r="J23" s="407"/>
      <c r="K23" s="407"/>
      <c r="L23" s="407"/>
      <c r="M23" s="407"/>
      <c r="N23" s="407"/>
      <c r="O23" s="407"/>
      <c r="P23" s="407"/>
      <c r="Q23" s="407"/>
      <c r="R23" s="407"/>
      <c r="S23" s="408"/>
      <c r="T23" s="406" t="s">
        <v>93</v>
      </c>
      <c r="U23" s="407"/>
      <c r="V23" s="407"/>
      <c r="W23" s="408"/>
    </row>
    <row r="24" spans="1:26" s="135" customFormat="1" ht="34.15">
      <c r="A24" s="130" t="s">
        <v>2</v>
      </c>
      <c r="B24" s="131" t="s">
        <v>94</v>
      </c>
      <c r="C24" s="405" t="s">
        <v>95</v>
      </c>
      <c r="D24" s="405"/>
      <c r="E24" s="405" t="s">
        <v>96</v>
      </c>
      <c r="F24" s="405"/>
      <c r="G24" s="405" t="s">
        <v>97</v>
      </c>
      <c r="H24" s="405"/>
      <c r="I24" s="133" t="s">
        <v>98</v>
      </c>
      <c r="J24" s="133" t="s">
        <v>75</v>
      </c>
      <c r="K24" s="133" t="s">
        <v>76</v>
      </c>
      <c r="L24" s="133" t="s">
        <v>77</v>
      </c>
      <c r="M24" s="133" t="s">
        <v>78</v>
      </c>
      <c r="N24" s="133" t="s">
        <v>79</v>
      </c>
      <c r="O24" s="133" t="s">
        <v>80</v>
      </c>
      <c r="P24" s="132" t="s">
        <v>81</v>
      </c>
      <c r="Q24" s="132" t="s">
        <v>82</v>
      </c>
      <c r="R24" s="133" t="s">
        <v>99</v>
      </c>
      <c r="S24" s="133" t="s">
        <v>100</v>
      </c>
      <c r="T24" s="133" t="s">
        <v>101</v>
      </c>
      <c r="U24" s="133" t="s">
        <v>102</v>
      </c>
      <c r="V24" s="133" t="s">
        <v>103</v>
      </c>
      <c r="W24" s="133" t="s">
        <v>104</v>
      </c>
      <c r="X24" s="405" t="s">
        <v>105</v>
      </c>
      <c r="Y24" s="405"/>
      <c r="Z24" s="134" t="s">
        <v>106</v>
      </c>
    </row>
    <row r="25" spans="1:26" s="143" customFormat="1">
      <c r="A25" s="136"/>
      <c r="B25" s="137"/>
      <c r="C25" s="392"/>
      <c r="D25" s="392"/>
      <c r="E25" s="392"/>
      <c r="F25" s="392"/>
      <c r="G25" s="393"/>
      <c r="H25" s="393"/>
      <c r="I25" s="138"/>
      <c r="J25" s="138"/>
      <c r="K25" s="139"/>
      <c r="L25" s="139"/>
      <c r="M25" s="139"/>
      <c r="N25" s="139"/>
      <c r="O25" s="140"/>
      <c r="P25" s="140"/>
      <c r="Q25" s="141"/>
      <c r="R25" s="138"/>
      <c r="S25" s="138"/>
      <c r="T25" s="138"/>
      <c r="U25" s="138"/>
      <c r="V25" s="138"/>
      <c r="W25" s="138"/>
      <c r="X25" s="392"/>
      <c r="Y25" s="392"/>
      <c r="Z25" s="142"/>
    </row>
    <row r="26" spans="1:26" s="143" customFormat="1">
      <c r="A26" s="136"/>
      <c r="B26" s="137"/>
      <c r="C26" s="392"/>
      <c r="D26" s="392"/>
      <c r="E26" s="392"/>
      <c r="F26" s="392"/>
      <c r="G26" s="393"/>
      <c r="H26" s="393"/>
      <c r="I26" s="138"/>
      <c r="J26" s="138"/>
      <c r="K26" s="139"/>
      <c r="L26" s="139"/>
      <c r="M26" s="139"/>
      <c r="N26" s="139"/>
      <c r="O26" s="140"/>
      <c r="P26" s="140"/>
      <c r="Q26" s="141"/>
      <c r="R26" s="138"/>
      <c r="S26" s="138"/>
      <c r="T26" s="138"/>
      <c r="U26" s="138"/>
      <c r="V26" s="138"/>
      <c r="W26" s="138"/>
      <c r="X26" s="392"/>
      <c r="Y26" s="392"/>
      <c r="Z26" s="142"/>
    </row>
    <row r="27" spans="1:26" s="143" customFormat="1">
      <c r="A27" s="136"/>
      <c r="B27" s="137"/>
      <c r="C27" s="392"/>
      <c r="D27" s="392"/>
      <c r="E27" s="392"/>
      <c r="F27" s="392"/>
      <c r="G27" s="393"/>
      <c r="H27" s="393"/>
      <c r="I27" s="138"/>
      <c r="J27" s="138"/>
      <c r="K27" s="139"/>
      <c r="L27" s="139"/>
      <c r="M27" s="139"/>
      <c r="N27" s="139"/>
      <c r="O27" s="140"/>
      <c r="P27" s="140"/>
      <c r="Q27" s="141"/>
      <c r="R27" s="138"/>
      <c r="S27" s="138"/>
      <c r="T27" s="138"/>
      <c r="U27" s="138"/>
      <c r="V27" s="138"/>
      <c r="W27" s="138"/>
      <c r="X27" s="392"/>
      <c r="Y27" s="392"/>
      <c r="Z27" s="144"/>
    </row>
    <row r="28" spans="1:26" s="143" customFormat="1">
      <c r="A28" s="136"/>
      <c r="B28" s="137"/>
      <c r="C28" s="392"/>
      <c r="D28" s="392"/>
      <c r="E28" s="392"/>
      <c r="F28" s="392"/>
      <c r="G28" s="393"/>
      <c r="H28" s="393"/>
      <c r="I28" s="138"/>
      <c r="J28" s="138"/>
      <c r="K28" s="139"/>
      <c r="L28" s="139"/>
      <c r="M28" s="139"/>
      <c r="N28" s="139"/>
      <c r="O28" s="140"/>
      <c r="P28" s="140"/>
      <c r="Q28" s="141"/>
      <c r="R28" s="138"/>
      <c r="S28" s="138"/>
      <c r="T28" s="138"/>
      <c r="U28" s="138"/>
      <c r="V28" s="138"/>
      <c r="W28" s="138"/>
      <c r="X28" s="392"/>
      <c r="Y28" s="392"/>
      <c r="Z28" s="142"/>
    </row>
    <row r="29" spans="1:26" s="143" customFormat="1">
      <c r="A29" s="136"/>
      <c r="B29" s="137"/>
      <c r="C29" s="392"/>
      <c r="D29" s="392"/>
      <c r="E29" s="392"/>
      <c r="F29" s="392"/>
      <c r="G29" s="393"/>
      <c r="H29" s="393"/>
      <c r="I29" s="138"/>
      <c r="J29" s="138"/>
      <c r="K29" s="139"/>
      <c r="L29" s="139"/>
      <c r="M29" s="139"/>
      <c r="N29" s="139"/>
      <c r="O29" s="140"/>
      <c r="P29" s="140"/>
      <c r="Q29" s="141"/>
      <c r="R29" s="138"/>
      <c r="S29" s="138"/>
      <c r="T29" s="138"/>
      <c r="U29" s="138"/>
      <c r="V29" s="138"/>
      <c r="W29" s="138"/>
      <c r="X29" s="392"/>
      <c r="Y29" s="392"/>
      <c r="Z29" s="145"/>
    </row>
    <row r="30" spans="1:26" s="143" customFormat="1">
      <c r="A30" s="136">
        <v>45372</v>
      </c>
      <c r="B30" s="137">
        <v>75</v>
      </c>
      <c r="C30" s="392">
        <v>0</v>
      </c>
      <c r="D30" s="392"/>
      <c r="E30" s="392">
        <v>0</v>
      </c>
      <c r="F30" s="392"/>
      <c r="G30" s="393">
        <v>0</v>
      </c>
      <c r="H30" s="393"/>
      <c r="I30" s="138">
        <v>0</v>
      </c>
      <c r="J30" s="138">
        <v>0</v>
      </c>
      <c r="K30" s="138">
        <v>0</v>
      </c>
      <c r="L30" s="138">
        <v>0</v>
      </c>
      <c r="M30" s="138">
        <v>0</v>
      </c>
      <c r="N30" s="138">
        <v>0</v>
      </c>
      <c r="O30" s="138">
        <v>0</v>
      </c>
      <c r="P30" s="138">
        <v>0</v>
      </c>
      <c r="Q30" s="138">
        <v>0</v>
      </c>
      <c r="R30" s="138">
        <v>0</v>
      </c>
      <c r="S30" s="138">
        <v>0</v>
      </c>
      <c r="T30" s="138">
        <v>0</v>
      </c>
      <c r="U30" s="138">
        <v>0</v>
      </c>
      <c r="V30" s="138">
        <v>0</v>
      </c>
      <c r="W30" s="138">
        <v>0</v>
      </c>
      <c r="X30" s="392">
        <v>0</v>
      </c>
      <c r="Y30" s="392"/>
      <c r="Z30" s="145"/>
    </row>
    <row r="31" spans="1:26" s="143" customFormat="1">
      <c r="A31" s="136">
        <v>45373</v>
      </c>
      <c r="B31" s="137"/>
      <c r="C31" s="392">
        <v>0</v>
      </c>
      <c r="D31" s="392"/>
      <c r="E31" s="392">
        <v>0</v>
      </c>
      <c r="F31" s="392"/>
      <c r="G31" s="393">
        <v>0</v>
      </c>
      <c r="H31" s="393"/>
      <c r="I31" s="138">
        <v>0</v>
      </c>
      <c r="J31" s="138">
        <v>0</v>
      </c>
      <c r="K31" s="138">
        <v>0</v>
      </c>
      <c r="L31" s="138">
        <v>0</v>
      </c>
      <c r="M31" s="138">
        <v>0</v>
      </c>
      <c r="N31" s="138">
        <v>0</v>
      </c>
      <c r="O31" s="138">
        <v>0</v>
      </c>
      <c r="P31" s="138">
        <v>0</v>
      </c>
      <c r="Q31" s="138">
        <v>0</v>
      </c>
      <c r="R31" s="138">
        <v>0</v>
      </c>
      <c r="S31" s="138">
        <v>0</v>
      </c>
      <c r="T31" s="138">
        <v>0</v>
      </c>
      <c r="U31" s="138">
        <v>0</v>
      </c>
      <c r="V31" s="138">
        <v>0</v>
      </c>
      <c r="W31" s="138">
        <v>0</v>
      </c>
      <c r="X31" s="392">
        <v>29</v>
      </c>
      <c r="Y31" s="392"/>
      <c r="Z31" s="145"/>
    </row>
    <row r="32" spans="1:26" s="143" customFormat="1">
      <c r="A32" s="136">
        <v>45374</v>
      </c>
      <c r="B32" s="137">
        <v>51</v>
      </c>
      <c r="C32" s="392">
        <v>0</v>
      </c>
      <c r="D32" s="392"/>
      <c r="E32" s="392">
        <v>0</v>
      </c>
      <c r="F32" s="392"/>
      <c r="G32" s="393">
        <v>0</v>
      </c>
      <c r="H32" s="393"/>
      <c r="I32" s="138">
        <v>0</v>
      </c>
      <c r="J32" s="138">
        <v>0</v>
      </c>
      <c r="K32" s="138">
        <v>0</v>
      </c>
      <c r="L32" s="138">
        <v>0</v>
      </c>
      <c r="M32" s="138">
        <v>0</v>
      </c>
      <c r="N32" s="138">
        <v>0</v>
      </c>
      <c r="O32" s="138">
        <v>0</v>
      </c>
      <c r="P32" s="138">
        <v>0</v>
      </c>
      <c r="Q32" s="138">
        <v>0</v>
      </c>
      <c r="R32" s="138">
        <v>0</v>
      </c>
      <c r="S32" s="138">
        <v>0</v>
      </c>
      <c r="T32" s="138">
        <v>0</v>
      </c>
      <c r="U32" s="138">
        <v>0</v>
      </c>
      <c r="V32" s="138">
        <v>0</v>
      </c>
      <c r="W32" s="138">
        <v>0</v>
      </c>
      <c r="X32" s="392">
        <v>0</v>
      </c>
      <c r="Y32" s="392"/>
      <c r="Z32" s="145"/>
    </row>
    <row r="33" spans="1:26" s="143" customFormat="1">
      <c r="A33" s="136">
        <v>45375</v>
      </c>
      <c r="B33" s="137">
        <v>0</v>
      </c>
      <c r="C33" s="392">
        <v>55</v>
      </c>
      <c r="D33" s="392"/>
      <c r="E33" s="392">
        <v>55</v>
      </c>
      <c r="F33" s="392"/>
      <c r="G33" s="393">
        <v>5</v>
      </c>
      <c r="H33" s="393"/>
      <c r="I33" s="138">
        <v>0</v>
      </c>
      <c r="J33" s="138">
        <v>0</v>
      </c>
      <c r="K33" s="139">
        <v>5</v>
      </c>
      <c r="L33" s="139">
        <v>0</v>
      </c>
      <c r="M33" s="139">
        <v>0</v>
      </c>
      <c r="N33" s="139">
        <v>0</v>
      </c>
      <c r="O33" s="140">
        <v>0</v>
      </c>
      <c r="P33" s="140">
        <v>0</v>
      </c>
      <c r="Q33" s="141">
        <v>0</v>
      </c>
      <c r="R33" s="138">
        <v>0</v>
      </c>
      <c r="S33" s="138">
        <v>0</v>
      </c>
      <c r="T33" s="138">
        <v>5</v>
      </c>
      <c r="U33" s="138">
        <v>0</v>
      </c>
      <c r="V33" s="138">
        <v>0</v>
      </c>
      <c r="W33" s="138">
        <v>0</v>
      </c>
      <c r="X33" s="392">
        <v>0</v>
      </c>
      <c r="Y33" s="392"/>
      <c r="Z33" s="145"/>
    </row>
    <row r="34" spans="1:26" s="143" customFormat="1">
      <c r="A34" s="136">
        <v>45376</v>
      </c>
      <c r="B34" s="137">
        <v>50</v>
      </c>
      <c r="C34" s="392">
        <v>0</v>
      </c>
      <c r="D34" s="392"/>
      <c r="E34" s="392">
        <v>0</v>
      </c>
      <c r="F34" s="392"/>
      <c r="G34" s="393">
        <v>0</v>
      </c>
      <c r="H34" s="393"/>
      <c r="I34" s="138">
        <v>0</v>
      </c>
      <c r="J34" s="138">
        <v>0</v>
      </c>
      <c r="K34" s="138">
        <v>0</v>
      </c>
      <c r="L34" s="138">
        <v>0</v>
      </c>
      <c r="M34" s="138">
        <v>0</v>
      </c>
      <c r="N34" s="138">
        <v>0</v>
      </c>
      <c r="O34" s="138">
        <v>0</v>
      </c>
      <c r="P34" s="138">
        <v>0</v>
      </c>
      <c r="Q34" s="138">
        <v>0</v>
      </c>
      <c r="R34" s="138">
        <v>0</v>
      </c>
      <c r="S34" s="138">
        <v>0</v>
      </c>
      <c r="T34" s="138">
        <v>0</v>
      </c>
      <c r="U34" s="138">
        <v>0</v>
      </c>
      <c r="V34" s="138">
        <v>0</v>
      </c>
      <c r="W34" s="138">
        <v>0</v>
      </c>
      <c r="X34" s="392">
        <v>0</v>
      </c>
      <c r="Y34" s="392"/>
      <c r="Z34" s="145"/>
    </row>
    <row r="35" spans="1:26" s="143" customFormat="1">
      <c r="A35" s="136">
        <v>45377</v>
      </c>
      <c r="B35" s="137">
        <v>0</v>
      </c>
      <c r="C35" s="392">
        <v>0</v>
      </c>
      <c r="D35" s="392"/>
      <c r="E35" s="392">
        <v>0</v>
      </c>
      <c r="F35" s="392"/>
      <c r="G35" s="393">
        <v>0</v>
      </c>
      <c r="H35" s="393"/>
      <c r="I35" s="138">
        <v>0</v>
      </c>
      <c r="J35" s="138">
        <v>0</v>
      </c>
      <c r="K35" s="138">
        <v>0</v>
      </c>
      <c r="L35" s="138">
        <v>0</v>
      </c>
      <c r="M35" s="138">
        <v>0</v>
      </c>
      <c r="N35" s="138">
        <v>0</v>
      </c>
      <c r="O35" s="138">
        <v>0</v>
      </c>
      <c r="P35" s="138">
        <v>0</v>
      </c>
      <c r="Q35" s="138">
        <v>0</v>
      </c>
      <c r="R35" s="138">
        <v>0</v>
      </c>
      <c r="S35" s="138">
        <v>0</v>
      </c>
      <c r="T35" s="138">
        <v>0</v>
      </c>
      <c r="U35" s="138">
        <v>0</v>
      </c>
      <c r="V35" s="138">
        <v>0</v>
      </c>
      <c r="W35" s="138">
        <v>0</v>
      </c>
      <c r="X35" s="392">
        <v>0</v>
      </c>
      <c r="Y35" s="392"/>
      <c r="Z35" s="145"/>
    </row>
    <row r="36" spans="1:26" s="143" customFormat="1">
      <c r="A36" s="136">
        <v>45378</v>
      </c>
      <c r="B36" s="137">
        <v>0</v>
      </c>
      <c r="C36" s="392">
        <v>0</v>
      </c>
      <c r="D36" s="392"/>
      <c r="E36" s="392">
        <v>0</v>
      </c>
      <c r="F36" s="392"/>
      <c r="G36" s="393">
        <v>0</v>
      </c>
      <c r="H36" s="393"/>
      <c r="I36" s="138">
        <v>0</v>
      </c>
      <c r="J36" s="138">
        <v>0</v>
      </c>
      <c r="K36" s="138">
        <v>0</v>
      </c>
      <c r="L36" s="138">
        <v>0</v>
      </c>
      <c r="M36" s="138">
        <v>0</v>
      </c>
      <c r="N36" s="138">
        <v>0</v>
      </c>
      <c r="O36" s="138">
        <v>0</v>
      </c>
      <c r="P36" s="138">
        <v>0</v>
      </c>
      <c r="Q36" s="138">
        <v>0</v>
      </c>
      <c r="R36" s="138">
        <v>0</v>
      </c>
      <c r="S36" s="138">
        <v>0</v>
      </c>
      <c r="T36" s="138">
        <v>0</v>
      </c>
      <c r="U36" s="138">
        <v>0</v>
      </c>
      <c r="V36" s="138">
        <v>0</v>
      </c>
      <c r="W36" s="138">
        <v>0</v>
      </c>
      <c r="X36" s="392">
        <v>0</v>
      </c>
      <c r="Y36" s="392"/>
      <c r="Z36" s="145"/>
    </row>
    <row r="37" spans="1:26" s="143" customFormat="1">
      <c r="A37" s="136">
        <v>45379</v>
      </c>
      <c r="B37" s="137">
        <v>29</v>
      </c>
      <c r="C37" s="392">
        <v>0</v>
      </c>
      <c r="D37" s="392"/>
      <c r="E37" s="392">
        <v>0</v>
      </c>
      <c r="F37" s="392"/>
      <c r="G37" s="393">
        <v>0</v>
      </c>
      <c r="H37" s="393"/>
      <c r="I37" s="138">
        <v>0</v>
      </c>
      <c r="J37" s="138">
        <v>0</v>
      </c>
      <c r="K37" s="139">
        <v>0</v>
      </c>
      <c r="L37" s="139">
        <v>0</v>
      </c>
      <c r="M37" s="139">
        <v>0</v>
      </c>
      <c r="N37" s="139">
        <v>0</v>
      </c>
      <c r="O37" s="140">
        <v>0</v>
      </c>
      <c r="P37" s="140">
        <v>0</v>
      </c>
      <c r="Q37" s="141">
        <v>0</v>
      </c>
      <c r="R37" s="138">
        <v>0</v>
      </c>
      <c r="S37" s="138">
        <v>0</v>
      </c>
      <c r="T37" s="138">
        <v>0</v>
      </c>
      <c r="U37" s="138">
        <v>0</v>
      </c>
      <c r="V37" s="138">
        <v>0</v>
      </c>
      <c r="W37" s="138">
        <v>0</v>
      </c>
      <c r="X37" s="392">
        <v>0</v>
      </c>
      <c r="Y37" s="392"/>
      <c r="Z37" s="145"/>
    </row>
    <row r="38" spans="1:26" s="143" customFormat="1">
      <c r="A38" s="136">
        <v>45380</v>
      </c>
      <c r="B38" s="137">
        <v>3</v>
      </c>
      <c r="C38" s="392">
        <v>0</v>
      </c>
      <c r="D38" s="392"/>
      <c r="E38" s="392">
        <v>0</v>
      </c>
      <c r="F38" s="392"/>
      <c r="G38" s="393">
        <v>0</v>
      </c>
      <c r="H38" s="393"/>
      <c r="I38" s="138">
        <v>0</v>
      </c>
      <c r="J38" s="138">
        <v>0</v>
      </c>
      <c r="K38" s="139">
        <v>0</v>
      </c>
      <c r="L38" s="139">
        <v>0</v>
      </c>
      <c r="M38" s="139">
        <v>0</v>
      </c>
      <c r="N38" s="139">
        <v>0</v>
      </c>
      <c r="O38" s="140">
        <v>0</v>
      </c>
      <c r="P38" s="140">
        <v>0</v>
      </c>
      <c r="Q38" s="141">
        <v>0</v>
      </c>
      <c r="R38" s="138">
        <v>0</v>
      </c>
      <c r="S38" s="138">
        <v>0</v>
      </c>
      <c r="T38" s="138">
        <v>0</v>
      </c>
      <c r="U38" s="138">
        <v>0</v>
      </c>
      <c r="V38" s="138">
        <v>0</v>
      </c>
      <c r="W38" s="138">
        <v>0</v>
      </c>
      <c r="X38" s="392">
        <v>0</v>
      </c>
      <c r="Y38" s="392"/>
      <c r="Z38" s="145"/>
    </row>
    <row r="39" spans="1:26" s="143" customFormat="1">
      <c r="A39" s="136">
        <v>45381</v>
      </c>
      <c r="B39" s="137">
        <v>3</v>
      </c>
      <c r="C39" s="392">
        <v>0</v>
      </c>
      <c r="D39" s="392"/>
      <c r="E39" s="392">
        <v>0</v>
      </c>
      <c r="F39" s="392"/>
      <c r="G39" s="393">
        <v>0</v>
      </c>
      <c r="H39" s="393"/>
      <c r="I39" s="138">
        <v>0</v>
      </c>
      <c r="J39" s="138">
        <v>0</v>
      </c>
      <c r="K39" s="139">
        <v>0</v>
      </c>
      <c r="L39" s="139">
        <v>0</v>
      </c>
      <c r="M39" s="139">
        <v>0</v>
      </c>
      <c r="N39" s="139">
        <v>0</v>
      </c>
      <c r="O39" s="140">
        <v>0</v>
      </c>
      <c r="P39" s="140">
        <v>0</v>
      </c>
      <c r="Q39" s="141">
        <v>0</v>
      </c>
      <c r="R39" s="138">
        <v>0</v>
      </c>
      <c r="S39" s="138">
        <v>0</v>
      </c>
      <c r="T39" s="138">
        <v>0</v>
      </c>
      <c r="U39" s="138">
        <v>0</v>
      </c>
      <c r="V39" s="138">
        <v>0</v>
      </c>
      <c r="W39" s="138">
        <v>0</v>
      </c>
      <c r="X39" s="392">
        <v>0</v>
      </c>
      <c r="Y39" s="392"/>
      <c r="Z39" s="145"/>
    </row>
    <row r="40" spans="1:26" s="143" customFormat="1">
      <c r="A40" s="136">
        <v>45382</v>
      </c>
      <c r="B40" s="137">
        <v>85</v>
      </c>
      <c r="C40" s="392">
        <v>20</v>
      </c>
      <c r="D40" s="392"/>
      <c r="E40" s="392">
        <v>20</v>
      </c>
      <c r="F40" s="392"/>
      <c r="G40" s="393">
        <v>6</v>
      </c>
      <c r="H40" s="393"/>
      <c r="I40" s="138"/>
      <c r="J40" s="138"/>
      <c r="K40" s="139"/>
      <c r="L40" s="139"/>
      <c r="M40" s="139"/>
      <c r="N40" s="139"/>
      <c r="O40" s="140"/>
      <c r="P40" s="140"/>
      <c r="Q40" s="141"/>
      <c r="R40" s="138"/>
      <c r="S40" s="138"/>
      <c r="T40" s="138">
        <v>6</v>
      </c>
      <c r="U40" s="138"/>
      <c r="V40" s="138"/>
      <c r="W40" s="138"/>
      <c r="X40" s="392">
        <v>0</v>
      </c>
      <c r="Y40" s="392"/>
      <c r="Z40" s="145" t="s">
        <v>107</v>
      </c>
    </row>
    <row r="41" spans="1:26" s="143" customFormat="1">
      <c r="A41" s="136">
        <v>45383</v>
      </c>
      <c r="B41" s="137">
        <v>85</v>
      </c>
      <c r="C41" s="392">
        <v>2</v>
      </c>
      <c r="D41" s="392"/>
      <c r="E41" s="392">
        <v>2</v>
      </c>
      <c r="F41" s="392"/>
      <c r="G41" s="393">
        <v>0</v>
      </c>
      <c r="H41" s="393"/>
      <c r="I41" s="138">
        <v>0</v>
      </c>
      <c r="J41" s="138">
        <v>0</v>
      </c>
      <c r="K41" s="139">
        <v>0</v>
      </c>
      <c r="L41" s="139">
        <v>0</v>
      </c>
      <c r="M41" s="139">
        <v>0</v>
      </c>
      <c r="N41" s="139">
        <v>0</v>
      </c>
      <c r="O41" s="140">
        <v>0</v>
      </c>
      <c r="P41" s="140">
        <v>0</v>
      </c>
      <c r="Q41" s="141">
        <v>0</v>
      </c>
      <c r="R41" s="138">
        <v>0</v>
      </c>
      <c r="S41" s="138">
        <v>0</v>
      </c>
      <c r="T41" s="138">
        <v>0</v>
      </c>
      <c r="U41" s="138">
        <v>0</v>
      </c>
      <c r="V41" s="138">
        <v>0</v>
      </c>
      <c r="W41" s="138">
        <v>0</v>
      </c>
      <c r="X41" s="392">
        <v>0</v>
      </c>
      <c r="Y41" s="392"/>
      <c r="Z41" s="145"/>
    </row>
    <row r="42" spans="1:26" s="143" customFormat="1">
      <c r="A42" s="136">
        <v>45384</v>
      </c>
      <c r="B42" s="137">
        <v>50</v>
      </c>
      <c r="C42" s="400">
        <v>0</v>
      </c>
      <c r="D42" s="401"/>
      <c r="E42" s="400">
        <v>0</v>
      </c>
      <c r="F42" s="401"/>
      <c r="G42" s="402">
        <v>0</v>
      </c>
      <c r="H42" s="403"/>
      <c r="I42" s="138">
        <v>0</v>
      </c>
      <c r="J42" s="138">
        <v>0</v>
      </c>
      <c r="K42" s="139">
        <v>0</v>
      </c>
      <c r="L42" s="139">
        <v>0</v>
      </c>
      <c r="M42" s="139">
        <v>0</v>
      </c>
      <c r="N42" s="139">
        <v>0</v>
      </c>
      <c r="O42" s="140">
        <v>0</v>
      </c>
      <c r="P42" s="140">
        <v>0</v>
      </c>
      <c r="Q42" s="141">
        <v>0</v>
      </c>
      <c r="R42" s="138">
        <v>0</v>
      </c>
      <c r="S42" s="138">
        <v>0</v>
      </c>
      <c r="T42" s="138">
        <v>0</v>
      </c>
      <c r="U42" s="138">
        <v>0</v>
      </c>
      <c r="V42" s="138">
        <v>0</v>
      </c>
      <c r="W42" s="138">
        <v>0</v>
      </c>
      <c r="X42" s="400">
        <v>0</v>
      </c>
      <c r="Y42" s="401"/>
      <c r="Z42" s="145"/>
    </row>
    <row r="43" spans="1:26" s="143" customFormat="1">
      <c r="A43" s="136">
        <v>45385</v>
      </c>
      <c r="B43" s="137">
        <v>38</v>
      </c>
      <c r="C43" s="392">
        <v>22</v>
      </c>
      <c r="D43" s="392"/>
      <c r="E43" s="392">
        <v>22</v>
      </c>
      <c r="F43" s="392"/>
      <c r="G43" s="393">
        <v>0</v>
      </c>
      <c r="H43" s="393"/>
      <c r="I43" s="138">
        <v>0</v>
      </c>
      <c r="J43" s="138">
        <v>0</v>
      </c>
      <c r="K43" s="139">
        <v>0</v>
      </c>
      <c r="L43" s="139">
        <v>0</v>
      </c>
      <c r="M43" s="139">
        <v>0</v>
      </c>
      <c r="N43" s="139">
        <v>0</v>
      </c>
      <c r="O43" s="140">
        <v>0</v>
      </c>
      <c r="P43" s="140">
        <v>0</v>
      </c>
      <c r="Q43" s="141">
        <v>0</v>
      </c>
      <c r="R43" s="138">
        <v>0</v>
      </c>
      <c r="S43" s="138">
        <v>0</v>
      </c>
      <c r="T43" s="138">
        <v>0</v>
      </c>
      <c r="U43" s="138">
        <v>0</v>
      </c>
      <c r="V43" s="138">
        <v>0</v>
      </c>
      <c r="W43" s="138">
        <v>0</v>
      </c>
      <c r="X43" s="392">
        <v>0</v>
      </c>
      <c r="Y43" s="392"/>
      <c r="Z43" s="145"/>
    </row>
    <row r="44" spans="1:26" s="158" customFormat="1" ht="16.5" customHeight="1">
      <c r="A44" s="151">
        <v>45386</v>
      </c>
      <c r="B44" s="152">
        <v>20</v>
      </c>
      <c r="C44" s="398">
        <v>0</v>
      </c>
      <c r="D44" s="398"/>
      <c r="E44" s="398">
        <v>0</v>
      </c>
      <c r="F44" s="398"/>
      <c r="G44" s="399">
        <v>0</v>
      </c>
      <c r="H44" s="399"/>
      <c r="I44" s="153">
        <v>0</v>
      </c>
      <c r="J44" s="153">
        <v>0</v>
      </c>
      <c r="K44" s="154">
        <v>0</v>
      </c>
      <c r="L44" s="154">
        <v>0</v>
      </c>
      <c r="M44" s="154">
        <v>0</v>
      </c>
      <c r="N44" s="154">
        <v>0</v>
      </c>
      <c r="O44" s="155">
        <v>0</v>
      </c>
      <c r="P44" s="155">
        <v>0</v>
      </c>
      <c r="Q44" s="156">
        <v>0</v>
      </c>
      <c r="R44" s="153">
        <v>0</v>
      </c>
      <c r="S44" s="153">
        <v>0</v>
      </c>
      <c r="T44" s="153">
        <v>0</v>
      </c>
      <c r="U44" s="153">
        <v>0</v>
      </c>
      <c r="V44" s="153">
        <v>0</v>
      </c>
      <c r="W44" s="153">
        <v>0</v>
      </c>
      <c r="X44" s="398">
        <v>0</v>
      </c>
      <c r="Y44" s="398"/>
      <c r="Z44" s="157"/>
    </row>
    <row r="45" spans="1:26" s="158" customFormat="1">
      <c r="A45" s="151">
        <v>45387</v>
      </c>
      <c r="B45" s="152">
        <v>18</v>
      </c>
      <c r="C45" s="398">
        <v>0</v>
      </c>
      <c r="D45" s="398"/>
      <c r="E45" s="398">
        <v>0</v>
      </c>
      <c r="F45" s="398"/>
      <c r="G45" s="399">
        <v>0</v>
      </c>
      <c r="H45" s="399"/>
      <c r="I45" s="153">
        <v>0</v>
      </c>
      <c r="J45" s="153">
        <v>0</v>
      </c>
      <c r="K45" s="154">
        <v>0</v>
      </c>
      <c r="L45" s="154">
        <v>0</v>
      </c>
      <c r="M45" s="154">
        <v>0</v>
      </c>
      <c r="N45" s="154">
        <v>0</v>
      </c>
      <c r="O45" s="155">
        <v>0</v>
      </c>
      <c r="P45" s="155">
        <v>0</v>
      </c>
      <c r="Q45" s="156">
        <v>0</v>
      </c>
      <c r="R45" s="153">
        <v>0</v>
      </c>
      <c r="S45" s="153">
        <v>0</v>
      </c>
      <c r="T45" s="153">
        <v>0</v>
      </c>
      <c r="U45" s="153">
        <v>0</v>
      </c>
      <c r="V45" s="153">
        <v>0</v>
      </c>
      <c r="W45" s="153">
        <v>0</v>
      </c>
      <c r="X45" s="398">
        <v>0</v>
      </c>
      <c r="Y45" s="398"/>
      <c r="Z45" s="157"/>
    </row>
    <row r="46" spans="1:26" s="158" customFormat="1" ht="15.75" customHeight="1">
      <c r="A46" s="151">
        <v>45388</v>
      </c>
      <c r="B46" s="152">
        <v>0</v>
      </c>
      <c r="C46" s="398">
        <v>0</v>
      </c>
      <c r="D46" s="398"/>
      <c r="E46" s="398">
        <v>0</v>
      </c>
      <c r="F46" s="398"/>
      <c r="G46" s="399">
        <v>0</v>
      </c>
      <c r="H46" s="399"/>
      <c r="I46" s="153">
        <v>0</v>
      </c>
      <c r="J46" s="153">
        <v>0</v>
      </c>
      <c r="K46" s="154">
        <v>0</v>
      </c>
      <c r="L46" s="154">
        <v>0</v>
      </c>
      <c r="M46" s="154">
        <v>0</v>
      </c>
      <c r="N46" s="154">
        <v>0</v>
      </c>
      <c r="O46" s="155">
        <v>0</v>
      </c>
      <c r="P46" s="155">
        <v>0</v>
      </c>
      <c r="Q46" s="156">
        <v>0</v>
      </c>
      <c r="R46" s="153">
        <v>0</v>
      </c>
      <c r="S46" s="153">
        <v>0</v>
      </c>
      <c r="T46" s="153">
        <v>0</v>
      </c>
      <c r="U46" s="153">
        <v>0</v>
      </c>
      <c r="V46" s="153">
        <v>0</v>
      </c>
      <c r="W46" s="153">
        <v>0</v>
      </c>
      <c r="X46" s="398">
        <v>0</v>
      </c>
      <c r="Y46" s="398"/>
      <c r="Z46" s="157"/>
    </row>
    <row r="47" spans="1:26" s="158" customFormat="1">
      <c r="A47" s="151">
        <v>45389</v>
      </c>
      <c r="B47" s="152">
        <v>0</v>
      </c>
      <c r="C47" s="398">
        <v>0</v>
      </c>
      <c r="D47" s="398"/>
      <c r="E47" s="398">
        <v>0</v>
      </c>
      <c r="F47" s="398"/>
      <c r="G47" s="399">
        <v>0</v>
      </c>
      <c r="H47" s="399"/>
      <c r="I47" s="153">
        <v>0</v>
      </c>
      <c r="J47" s="153">
        <v>0</v>
      </c>
      <c r="K47" s="154">
        <v>0</v>
      </c>
      <c r="L47" s="154">
        <v>0</v>
      </c>
      <c r="M47" s="154">
        <v>0</v>
      </c>
      <c r="N47" s="154">
        <v>0</v>
      </c>
      <c r="O47" s="155">
        <v>0</v>
      </c>
      <c r="P47" s="155">
        <v>0</v>
      </c>
      <c r="Q47" s="156">
        <v>0</v>
      </c>
      <c r="R47" s="153">
        <v>0</v>
      </c>
      <c r="S47" s="153">
        <v>0</v>
      </c>
      <c r="T47" s="153">
        <v>0</v>
      </c>
      <c r="U47" s="153">
        <v>0</v>
      </c>
      <c r="V47" s="153">
        <v>0</v>
      </c>
      <c r="W47" s="153">
        <v>0</v>
      </c>
      <c r="X47" s="398">
        <v>0</v>
      </c>
      <c r="Y47" s="398"/>
      <c r="Z47" s="157"/>
    </row>
    <row r="48" spans="1:26" s="158" customFormat="1">
      <c r="A48" s="151">
        <v>45390</v>
      </c>
      <c r="B48" s="152">
        <v>56</v>
      </c>
      <c r="C48" s="398">
        <v>0</v>
      </c>
      <c r="D48" s="398"/>
      <c r="E48" s="398">
        <v>0</v>
      </c>
      <c r="F48" s="398"/>
      <c r="G48" s="399">
        <v>0</v>
      </c>
      <c r="H48" s="399"/>
      <c r="I48" s="153">
        <v>0</v>
      </c>
      <c r="J48" s="153">
        <v>0</v>
      </c>
      <c r="K48" s="154">
        <v>0</v>
      </c>
      <c r="L48" s="154">
        <v>0</v>
      </c>
      <c r="M48" s="154">
        <v>0</v>
      </c>
      <c r="N48" s="154">
        <v>0</v>
      </c>
      <c r="O48" s="155">
        <v>0</v>
      </c>
      <c r="P48" s="155">
        <v>0</v>
      </c>
      <c r="Q48" s="156">
        <v>0</v>
      </c>
      <c r="R48" s="156">
        <v>0</v>
      </c>
      <c r="S48" s="156">
        <v>0</v>
      </c>
      <c r="T48" s="156">
        <v>0</v>
      </c>
      <c r="U48" s="156">
        <v>0</v>
      </c>
      <c r="V48" s="156">
        <v>0</v>
      </c>
      <c r="W48" s="156">
        <v>0</v>
      </c>
      <c r="X48" s="398">
        <v>0</v>
      </c>
      <c r="Y48" s="398"/>
      <c r="Z48" s="157"/>
    </row>
    <row r="49" spans="1:26" s="158" customFormat="1">
      <c r="A49" s="151">
        <v>45391</v>
      </c>
      <c r="B49" s="152">
        <v>78</v>
      </c>
      <c r="C49" s="398">
        <v>0</v>
      </c>
      <c r="D49" s="398"/>
      <c r="E49" s="398">
        <v>0</v>
      </c>
      <c r="F49" s="398"/>
      <c r="G49" s="399">
        <v>0</v>
      </c>
      <c r="H49" s="399"/>
      <c r="I49" s="153">
        <v>0</v>
      </c>
      <c r="J49" s="153">
        <v>0</v>
      </c>
      <c r="K49" s="154">
        <v>0</v>
      </c>
      <c r="L49" s="154">
        <v>0</v>
      </c>
      <c r="M49" s="154">
        <v>0</v>
      </c>
      <c r="N49" s="154">
        <v>0</v>
      </c>
      <c r="O49" s="155">
        <v>0</v>
      </c>
      <c r="P49" s="155">
        <v>0</v>
      </c>
      <c r="Q49" s="156">
        <v>0</v>
      </c>
      <c r="R49" s="156">
        <v>0</v>
      </c>
      <c r="S49" s="156">
        <v>0</v>
      </c>
      <c r="T49" s="156">
        <v>0</v>
      </c>
      <c r="U49" s="156">
        <v>0</v>
      </c>
      <c r="V49" s="156">
        <v>0</v>
      </c>
      <c r="W49" s="156">
        <v>0</v>
      </c>
      <c r="X49" s="398">
        <v>0</v>
      </c>
      <c r="Y49" s="398"/>
      <c r="Z49" s="157"/>
    </row>
    <row r="50" spans="1:26" s="158" customFormat="1" ht="14.45" customHeight="1">
      <c r="A50" s="151">
        <v>45392</v>
      </c>
      <c r="B50" s="152">
        <v>50</v>
      </c>
      <c r="C50" s="398">
        <v>0</v>
      </c>
      <c r="D50" s="398"/>
      <c r="E50" s="398">
        <v>0</v>
      </c>
      <c r="F50" s="398"/>
      <c r="G50" s="399">
        <v>0</v>
      </c>
      <c r="H50" s="399"/>
      <c r="I50" s="153">
        <v>0</v>
      </c>
      <c r="J50" s="153">
        <v>0</v>
      </c>
      <c r="K50" s="154">
        <v>0</v>
      </c>
      <c r="L50" s="154">
        <v>0</v>
      </c>
      <c r="M50" s="154">
        <v>0</v>
      </c>
      <c r="N50" s="154">
        <v>0</v>
      </c>
      <c r="O50" s="155">
        <v>0</v>
      </c>
      <c r="P50" s="155">
        <v>0</v>
      </c>
      <c r="Q50" s="156">
        <v>0</v>
      </c>
      <c r="R50" s="156">
        <v>0</v>
      </c>
      <c r="S50" s="156">
        <v>0</v>
      </c>
      <c r="T50" s="156">
        <v>0</v>
      </c>
      <c r="U50" s="156">
        <v>0</v>
      </c>
      <c r="V50" s="156">
        <v>0</v>
      </c>
      <c r="W50" s="156">
        <v>0</v>
      </c>
      <c r="X50" s="398">
        <v>0</v>
      </c>
      <c r="Y50" s="398"/>
      <c r="Z50" s="157"/>
    </row>
    <row r="51" spans="1:26" s="158" customFormat="1" ht="14.45" customHeight="1">
      <c r="A51" s="151">
        <v>45393</v>
      </c>
      <c r="B51" s="152">
        <v>50</v>
      </c>
      <c r="C51" s="398">
        <v>0</v>
      </c>
      <c r="D51" s="398"/>
      <c r="E51" s="398">
        <v>0</v>
      </c>
      <c r="F51" s="398"/>
      <c r="G51" s="399">
        <v>0</v>
      </c>
      <c r="H51" s="399"/>
      <c r="I51" s="153">
        <v>0</v>
      </c>
      <c r="J51" s="153">
        <v>0</v>
      </c>
      <c r="K51" s="154">
        <v>0</v>
      </c>
      <c r="L51" s="154">
        <v>0</v>
      </c>
      <c r="M51" s="154">
        <v>0</v>
      </c>
      <c r="N51" s="154">
        <v>0</v>
      </c>
      <c r="O51" s="155">
        <v>0</v>
      </c>
      <c r="P51" s="155">
        <v>0</v>
      </c>
      <c r="Q51" s="156">
        <v>0</v>
      </c>
      <c r="R51" s="156">
        <v>0</v>
      </c>
      <c r="S51" s="156">
        <v>0</v>
      </c>
      <c r="T51" s="156">
        <v>0</v>
      </c>
      <c r="U51" s="156">
        <v>0</v>
      </c>
      <c r="V51" s="156">
        <v>0</v>
      </c>
      <c r="W51" s="156">
        <v>0</v>
      </c>
      <c r="X51" s="398">
        <v>0</v>
      </c>
      <c r="Y51" s="398"/>
      <c r="Z51" s="157"/>
    </row>
    <row r="52" spans="1:26" s="158" customFormat="1" ht="14.45" customHeight="1">
      <c r="A52" s="151">
        <v>45394</v>
      </c>
      <c r="B52" s="152">
        <v>40</v>
      </c>
      <c r="C52" s="398">
        <v>0</v>
      </c>
      <c r="D52" s="398"/>
      <c r="E52" s="398">
        <v>0</v>
      </c>
      <c r="F52" s="398"/>
      <c r="G52" s="399">
        <v>0</v>
      </c>
      <c r="H52" s="399"/>
      <c r="I52" s="153">
        <v>0</v>
      </c>
      <c r="J52" s="153">
        <v>0</v>
      </c>
      <c r="K52" s="154">
        <v>0</v>
      </c>
      <c r="L52" s="154">
        <v>0</v>
      </c>
      <c r="M52" s="154">
        <v>0</v>
      </c>
      <c r="N52" s="154">
        <v>0</v>
      </c>
      <c r="O52" s="155">
        <v>0</v>
      </c>
      <c r="P52" s="155">
        <v>0</v>
      </c>
      <c r="Q52" s="156">
        <v>0</v>
      </c>
      <c r="R52" s="156">
        <v>0</v>
      </c>
      <c r="S52" s="156">
        <v>0</v>
      </c>
      <c r="T52" s="156">
        <v>0</v>
      </c>
      <c r="U52" s="156">
        <v>0</v>
      </c>
      <c r="V52" s="156">
        <v>0</v>
      </c>
      <c r="W52" s="156">
        <v>0</v>
      </c>
      <c r="X52" s="398">
        <v>0</v>
      </c>
      <c r="Y52" s="398"/>
      <c r="Z52" s="157"/>
    </row>
    <row r="53" spans="1:26" s="158" customFormat="1" ht="14.45" customHeight="1">
      <c r="A53" s="151">
        <v>45395</v>
      </c>
      <c r="B53" s="152">
        <v>50</v>
      </c>
      <c r="C53" s="398">
        <v>0</v>
      </c>
      <c r="D53" s="398"/>
      <c r="E53" s="398">
        <v>0</v>
      </c>
      <c r="F53" s="398"/>
      <c r="G53" s="399">
        <v>0</v>
      </c>
      <c r="H53" s="399"/>
      <c r="I53" s="153">
        <v>0</v>
      </c>
      <c r="J53" s="153">
        <v>0</v>
      </c>
      <c r="K53" s="154">
        <v>0</v>
      </c>
      <c r="L53" s="154">
        <v>0</v>
      </c>
      <c r="M53" s="154">
        <v>0</v>
      </c>
      <c r="N53" s="154">
        <v>0</v>
      </c>
      <c r="O53" s="155">
        <v>0</v>
      </c>
      <c r="P53" s="155">
        <v>0</v>
      </c>
      <c r="Q53" s="156">
        <v>0</v>
      </c>
      <c r="R53" s="156">
        <v>0</v>
      </c>
      <c r="S53" s="156">
        <v>0</v>
      </c>
      <c r="T53" s="156">
        <v>0</v>
      </c>
      <c r="U53" s="156">
        <v>0</v>
      </c>
      <c r="V53" s="156">
        <v>0</v>
      </c>
      <c r="W53" s="156">
        <v>0</v>
      </c>
      <c r="X53" s="398">
        <v>0</v>
      </c>
      <c r="Y53" s="398"/>
      <c r="Z53" s="157"/>
    </row>
    <row r="54" spans="1:26" s="158" customFormat="1">
      <c r="A54" s="151">
        <v>45396</v>
      </c>
      <c r="B54" s="152">
        <v>50</v>
      </c>
      <c r="C54" s="398">
        <v>0</v>
      </c>
      <c r="D54" s="398"/>
      <c r="E54" s="398">
        <v>0</v>
      </c>
      <c r="F54" s="398"/>
      <c r="G54" s="399">
        <v>0</v>
      </c>
      <c r="H54" s="399"/>
      <c r="I54" s="153">
        <v>0</v>
      </c>
      <c r="J54" s="153">
        <v>0</v>
      </c>
      <c r="K54" s="154">
        <v>0</v>
      </c>
      <c r="L54" s="154">
        <v>0</v>
      </c>
      <c r="M54" s="154">
        <v>0</v>
      </c>
      <c r="N54" s="154">
        <v>0</v>
      </c>
      <c r="O54" s="155">
        <v>0</v>
      </c>
      <c r="P54" s="155">
        <v>0</v>
      </c>
      <c r="Q54" s="156">
        <v>0</v>
      </c>
      <c r="R54" s="156">
        <v>0</v>
      </c>
      <c r="S54" s="156">
        <v>0</v>
      </c>
      <c r="T54" s="156">
        <v>0</v>
      </c>
      <c r="U54" s="156">
        <v>0</v>
      </c>
      <c r="V54" s="156">
        <v>0</v>
      </c>
      <c r="W54" s="156">
        <v>0</v>
      </c>
      <c r="X54" s="398">
        <v>0</v>
      </c>
      <c r="Y54" s="398"/>
      <c r="Z54" s="157"/>
    </row>
    <row r="55" spans="1:26" s="158" customFormat="1">
      <c r="A55" s="151">
        <v>45397</v>
      </c>
      <c r="B55" s="152">
        <v>88</v>
      </c>
      <c r="C55" s="398">
        <v>0</v>
      </c>
      <c r="D55" s="398"/>
      <c r="E55" s="398">
        <v>0</v>
      </c>
      <c r="F55" s="398"/>
      <c r="G55" s="399">
        <v>0</v>
      </c>
      <c r="H55" s="399"/>
      <c r="I55" s="153">
        <v>0</v>
      </c>
      <c r="J55" s="153">
        <v>0</v>
      </c>
      <c r="K55" s="154">
        <v>0</v>
      </c>
      <c r="L55" s="154">
        <v>0</v>
      </c>
      <c r="M55" s="154">
        <v>0</v>
      </c>
      <c r="N55" s="154">
        <v>0</v>
      </c>
      <c r="O55" s="155">
        <v>0</v>
      </c>
      <c r="P55" s="155">
        <v>0</v>
      </c>
      <c r="Q55" s="156">
        <v>0</v>
      </c>
      <c r="R55" s="153">
        <v>0</v>
      </c>
      <c r="S55" s="153">
        <v>0</v>
      </c>
      <c r="T55" s="153">
        <v>0</v>
      </c>
      <c r="U55" s="153">
        <v>0</v>
      </c>
      <c r="V55" s="153">
        <v>0</v>
      </c>
      <c r="W55" s="153">
        <v>0</v>
      </c>
      <c r="X55" s="398">
        <v>0</v>
      </c>
      <c r="Y55" s="398"/>
      <c r="Z55" s="157"/>
    </row>
    <row r="56" spans="1:26" s="158" customFormat="1">
      <c r="A56" s="151">
        <v>45398</v>
      </c>
      <c r="B56" s="152">
        <v>99</v>
      </c>
      <c r="C56" s="398">
        <v>0</v>
      </c>
      <c r="D56" s="398"/>
      <c r="E56" s="398">
        <v>0</v>
      </c>
      <c r="F56" s="398"/>
      <c r="G56" s="399">
        <v>0</v>
      </c>
      <c r="H56" s="399"/>
      <c r="I56" s="153">
        <v>0</v>
      </c>
      <c r="J56" s="153">
        <v>0</v>
      </c>
      <c r="K56" s="154">
        <v>0</v>
      </c>
      <c r="L56" s="154">
        <v>0</v>
      </c>
      <c r="M56" s="154">
        <v>0</v>
      </c>
      <c r="N56" s="154">
        <v>0</v>
      </c>
      <c r="O56" s="155">
        <v>0</v>
      </c>
      <c r="P56" s="155">
        <v>0</v>
      </c>
      <c r="Q56" s="156">
        <v>0</v>
      </c>
      <c r="R56" s="153">
        <v>0</v>
      </c>
      <c r="S56" s="153">
        <v>0</v>
      </c>
      <c r="T56" s="153">
        <v>0</v>
      </c>
      <c r="U56" s="153">
        <v>0</v>
      </c>
      <c r="V56" s="153">
        <v>0</v>
      </c>
      <c r="W56" s="153">
        <v>0</v>
      </c>
      <c r="X56" s="398">
        <v>0</v>
      </c>
      <c r="Y56" s="398"/>
      <c r="Z56" s="157"/>
    </row>
    <row r="57" spans="1:26" s="143" customFormat="1">
      <c r="A57" s="136">
        <v>45399</v>
      </c>
      <c r="B57" s="137">
        <v>39</v>
      </c>
      <c r="C57" s="392">
        <v>0</v>
      </c>
      <c r="D57" s="392"/>
      <c r="E57" s="392">
        <v>0</v>
      </c>
      <c r="F57" s="392"/>
      <c r="G57" s="393">
        <v>0</v>
      </c>
      <c r="H57" s="393"/>
      <c r="I57" s="138">
        <v>0</v>
      </c>
      <c r="J57" s="138">
        <v>0</v>
      </c>
      <c r="K57" s="139">
        <v>0</v>
      </c>
      <c r="L57" s="139">
        <v>0</v>
      </c>
      <c r="M57" s="139">
        <v>0</v>
      </c>
      <c r="N57" s="139">
        <v>0</v>
      </c>
      <c r="O57" s="140">
        <v>0</v>
      </c>
      <c r="P57" s="140">
        <v>0</v>
      </c>
      <c r="Q57" s="141">
        <v>0</v>
      </c>
      <c r="R57" s="138">
        <v>0</v>
      </c>
      <c r="S57" s="138">
        <v>0</v>
      </c>
      <c r="T57" s="138">
        <v>0</v>
      </c>
      <c r="U57" s="138">
        <v>0</v>
      </c>
      <c r="V57" s="138">
        <v>0</v>
      </c>
      <c r="W57" s="138">
        <v>0</v>
      </c>
      <c r="X57" s="392">
        <v>0</v>
      </c>
      <c r="Y57" s="392"/>
      <c r="Z57" s="145"/>
    </row>
    <row r="58" spans="1:26" s="143" customFormat="1">
      <c r="A58" s="136">
        <v>45400</v>
      </c>
      <c r="B58" s="137">
        <v>29</v>
      </c>
      <c r="C58" s="392">
        <v>0</v>
      </c>
      <c r="D58" s="392"/>
      <c r="E58" s="392">
        <v>0</v>
      </c>
      <c r="F58" s="392"/>
      <c r="G58" s="393">
        <v>0</v>
      </c>
      <c r="H58" s="393"/>
      <c r="I58" s="138">
        <v>0</v>
      </c>
      <c r="J58" s="138">
        <v>0</v>
      </c>
      <c r="K58" s="139">
        <v>0</v>
      </c>
      <c r="L58" s="139">
        <v>0</v>
      </c>
      <c r="M58" s="139">
        <v>0</v>
      </c>
      <c r="N58" s="139">
        <v>0</v>
      </c>
      <c r="O58" s="140">
        <v>0</v>
      </c>
      <c r="P58" s="140">
        <v>0</v>
      </c>
      <c r="Q58" s="141">
        <v>0</v>
      </c>
      <c r="R58" s="138">
        <v>0</v>
      </c>
      <c r="S58" s="138">
        <v>0</v>
      </c>
      <c r="T58" s="138">
        <v>0</v>
      </c>
      <c r="U58" s="138">
        <v>0</v>
      </c>
      <c r="V58" s="138">
        <v>0</v>
      </c>
      <c r="W58" s="138">
        <v>0</v>
      </c>
      <c r="X58" s="392">
        <v>0</v>
      </c>
      <c r="Y58" s="392"/>
      <c r="Z58" s="145"/>
    </row>
    <row r="59" spans="1:26" s="143" customFormat="1">
      <c r="A59" s="136">
        <v>45401</v>
      </c>
      <c r="B59" s="137"/>
      <c r="C59" s="392"/>
      <c r="D59" s="392"/>
      <c r="E59" s="392"/>
      <c r="F59" s="392"/>
      <c r="G59" s="393"/>
      <c r="H59" s="393"/>
      <c r="I59" s="138"/>
      <c r="J59" s="138"/>
      <c r="K59" s="139"/>
      <c r="L59" s="139"/>
      <c r="M59" s="139"/>
      <c r="N59" s="139"/>
      <c r="O59" s="140"/>
      <c r="P59" s="140"/>
      <c r="Q59" s="141"/>
      <c r="R59" s="138"/>
      <c r="S59" s="138"/>
      <c r="T59" s="138"/>
      <c r="U59" s="138"/>
      <c r="V59" s="138"/>
      <c r="W59" s="138"/>
      <c r="X59" s="392"/>
      <c r="Y59" s="392"/>
      <c r="Z59" s="145"/>
    </row>
    <row r="60" spans="1:26" s="143" customFormat="1">
      <c r="A60" s="136">
        <v>45402</v>
      </c>
      <c r="B60" s="137"/>
      <c r="C60" s="392"/>
      <c r="D60" s="392"/>
      <c r="E60" s="392"/>
      <c r="F60" s="392"/>
      <c r="G60" s="393"/>
      <c r="H60" s="393"/>
      <c r="I60" s="138"/>
      <c r="J60" s="138"/>
      <c r="K60" s="139"/>
      <c r="L60" s="139"/>
      <c r="M60" s="139"/>
      <c r="N60" s="139"/>
      <c r="O60" s="140"/>
      <c r="P60" s="140"/>
      <c r="Q60" s="141"/>
      <c r="R60" s="138"/>
      <c r="S60" s="138"/>
      <c r="T60" s="138"/>
      <c r="U60" s="138"/>
      <c r="V60" s="138"/>
      <c r="W60" s="138"/>
      <c r="X60" s="392"/>
      <c r="Y60" s="392"/>
      <c r="Z60" s="145"/>
    </row>
    <row r="61" spans="1:26" s="143" customFormat="1">
      <c r="A61" s="136">
        <v>45403</v>
      </c>
      <c r="B61" s="137"/>
      <c r="C61" s="392"/>
      <c r="D61" s="392"/>
      <c r="E61" s="392"/>
      <c r="F61" s="392"/>
      <c r="G61" s="393"/>
      <c r="H61" s="393"/>
      <c r="I61" s="138"/>
      <c r="J61" s="138"/>
      <c r="K61" s="139"/>
      <c r="L61" s="139"/>
      <c r="M61" s="139"/>
      <c r="N61" s="139"/>
      <c r="O61" s="140"/>
      <c r="P61" s="140"/>
      <c r="Q61" s="141"/>
      <c r="R61" s="138"/>
      <c r="S61" s="138"/>
      <c r="T61" s="138"/>
      <c r="U61" s="138"/>
      <c r="V61" s="138"/>
      <c r="W61" s="138"/>
      <c r="X61" s="392"/>
      <c r="Y61" s="392"/>
      <c r="Z61" s="145"/>
    </row>
    <row r="62" spans="1:26" s="158" customFormat="1">
      <c r="A62" s="151">
        <v>45404</v>
      </c>
      <c r="B62" s="152">
        <v>1</v>
      </c>
      <c r="C62" s="398">
        <v>0</v>
      </c>
      <c r="D62" s="398"/>
      <c r="E62" s="398">
        <v>0</v>
      </c>
      <c r="F62" s="398"/>
      <c r="G62" s="399">
        <v>0</v>
      </c>
      <c r="H62" s="399"/>
      <c r="I62" s="153">
        <v>0</v>
      </c>
      <c r="J62" s="153">
        <v>0</v>
      </c>
      <c r="K62" s="154">
        <v>0</v>
      </c>
      <c r="L62" s="154">
        <v>0</v>
      </c>
      <c r="M62" s="154">
        <v>0</v>
      </c>
      <c r="N62" s="154">
        <v>0</v>
      </c>
      <c r="O62" s="155">
        <v>0</v>
      </c>
      <c r="P62" s="155">
        <v>0</v>
      </c>
      <c r="Q62" s="156">
        <v>0</v>
      </c>
      <c r="R62" s="153">
        <v>0</v>
      </c>
      <c r="S62" s="153">
        <v>0</v>
      </c>
      <c r="T62" s="153">
        <v>0</v>
      </c>
      <c r="U62" s="153">
        <v>0</v>
      </c>
      <c r="V62" s="153">
        <v>0</v>
      </c>
      <c r="W62" s="153">
        <v>0</v>
      </c>
      <c r="X62" s="398">
        <v>0</v>
      </c>
      <c r="Y62" s="398"/>
      <c r="Z62" s="157"/>
    </row>
    <row r="63" spans="1:26" s="143" customFormat="1">
      <c r="A63" s="136">
        <v>45405</v>
      </c>
      <c r="B63" s="137">
        <v>1</v>
      </c>
      <c r="C63" s="392">
        <v>0</v>
      </c>
      <c r="D63" s="392"/>
      <c r="E63" s="392">
        <v>0</v>
      </c>
      <c r="F63" s="392"/>
      <c r="G63" s="393">
        <v>0</v>
      </c>
      <c r="H63" s="393"/>
      <c r="I63" s="138">
        <v>0</v>
      </c>
      <c r="J63" s="138">
        <v>0</v>
      </c>
      <c r="K63" s="139">
        <v>0</v>
      </c>
      <c r="L63" s="139">
        <v>0</v>
      </c>
      <c r="M63" s="139">
        <v>0</v>
      </c>
      <c r="N63" s="139">
        <v>0</v>
      </c>
      <c r="O63" s="140">
        <v>0</v>
      </c>
      <c r="P63" s="140">
        <v>0</v>
      </c>
      <c r="Q63" s="141">
        <v>0</v>
      </c>
      <c r="R63" s="138">
        <v>0</v>
      </c>
      <c r="S63" s="138">
        <v>0</v>
      </c>
      <c r="T63" s="138">
        <v>0</v>
      </c>
      <c r="U63" s="138">
        <v>0</v>
      </c>
      <c r="V63" s="138">
        <v>0</v>
      </c>
      <c r="W63" s="138">
        <v>0</v>
      </c>
      <c r="X63" s="392">
        <v>0</v>
      </c>
      <c r="Y63" s="392"/>
      <c r="Z63" s="145"/>
    </row>
    <row r="64" spans="1:26" s="143" customFormat="1">
      <c r="A64" s="136">
        <v>45406</v>
      </c>
      <c r="B64" s="137">
        <v>1</v>
      </c>
      <c r="C64" s="392">
        <v>0</v>
      </c>
      <c r="D64" s="392"/>
      <c r="E64" s="392">
        <v>0</v>
      </c>
      <c r="F64" s="392"/>
      <c r="G64" s="393">
        <v>0</v>
      </c>
      <c r="H64" s="393"/>
      <c r="I64" s="138">
        <v>0</v>
      </c>
      <c r="J64" s="138">
        <v>0</v>
      </c>
      <c r="K64" s="139">
        <v>0</v>
      </c>
      <c r="L64" s="139">
        <v>0</v>
      </c>
      <c r="M64" s="139">
        <v>0</v>
      </c>
      <c r="N64" s="139">
        <v>0</v>
      </c>
      <c r="O64" s="140">
        <v>0</v>
      </c>
      <c r="P64" s="140">
        <v>0</v>
      </c>
      <c r="Q64" s="141">
        <v>0</v>
      </c>
      <c r="R64" s="138">
        <v>0</v>
      </c>
      <c r="S64" s="138">
        <v>0</v>
      </c>
      <c r="T64" s="138">
        <v>0</v>
      </c>
      <c r="U64" s="138">
        <v>0</v>
      </c>
      <c r="V64" s="138">
        <v>0</v>
      </c>
      <c r="W64" s="138">
        <v>0</v>
      </c>
      <c r="X64" s="392">
        <v>0</v>
      </c>
      <c r="Y64" s="392"/>
      <c r="Z64" s="145"/>
    </row>
    <row r="65" spans="1:26" s="143" customFormat="1">
      <c r="A65" s="136">
        <v>45408</v>
      </c>
      <c r="B65" s="137"/>
      <c r="C65" s="392"/>
      <c r="D65" s="392"/>
      <c r="E65" s="392"/>
      <c r="F65" s="392"/>
      <c r="G65" s="393"/>
      <c r="H65" s="393"/>
      <c r="I65" s="138"/>
      <c r="J65" s="138"/>
      <c r="K65" s="139"/>
      <c r="L65" s="139"/>
      <c r="M65" s="139"/>
      <c r="N65" s="139"/>
      <c r="O65" s="140"/>
      <c r="P65" s="140"/>
      <c r="Q65" s="141"/>
      <c r="R65" s="138"/>
      <c r="S65" s="138"/>
      <c r="T65" s="138"/>
      <c r="U65" s="138"/>
      <c r="V65" s="138"/>
      <c r="W65" s="138"/>
      <c r="X65" s="392"/>
      <c r="Y65" s="392"/>
      <c r="Z65" s="145"/>
    </row>
    <row r="66" spans="1:26" s="143" customFormat="1">
      <c r="A66" s="136">
        <v>45409</v>
      </c>
      <c r="B66" s="137">
        <v>0</v>
      </c>
      <c r="C66" s="392">
        <v>4</v>
      </c>
      <c r="D66" s="392"/>
      <c r="E66" s="392">
        <v>4</v>
      </c>
      <c r="F66" s="392"/>
      <c r="G66" s="393">
        <v>2</v>
      </c>
      <c r="H66" s="393"/>
      <c r="I66" s="138">
        <v>0</v>
      </c>
      <c r="J66" s="138">
        <v>0</v>
      </c>
      <c r="K66" s="138">
        <v>0</v>
      </c>
      <c r="L66" s="138">
        <v>0</v>
      </c>
      <c r="M66" s="138">
        <v>0</v>
      </c>
      <c r="N66" s="138">
        <v>0</v>
      </c>
      <c r="O66" s="138">
        <v>0</v>
      </c>
      <c r="P66" s="138">
        <v>0</v>
      </c>
      <c r="Q66" s="138">
        <v>0</v>
      </c>
      <c r="R66" s="138">
        <v>0</v>
      </c>
      <c r="S66" s="138">
        <v>0</v>
      </c>
      <c r="T66" s="138">
        <v>0</v>
      </c>
      <c r="U66" s="138">
        <v>0</v>
      </c>
      <c r="V66" s="138">
        <v>0</v>
      </c>
      <c r="W66" s="138">
        <v>0</v>
      </c>
      <c r="X66" s="392">
        <v>0</v>
      </c>
      <c r="Y66" s="392"/>
      <c r="Z66" s="145"/>
    </row>
    <row r="67" spans="1:26" s="143" customFormat="1">
      <c r="A67" s="136">
        <v>45410</v>
      </c>
      <c r="B67" s="137"/>
      <c r="C67" s="392"/>
      <c r="D67" s="392"/>
      <c r="E67" s="392"/>
      <c r="F67" s="392"/>
      <c r="G67" s="393"/>
      <c r="H67" s="393"/>
      <c r="I67" s="138"/>
      <c r="J67" s="138"/>
      <c r="K67" s="139"/>
      <c r="L67" s="139"/>
      <c r="M67" s="139"/>
      <c r="N67" s="139"/>
      <c r="O67" s="140"/>
      <c r="P67" s="140"/>
      <c r="Q67" s="141"/>
      <c r="R67" s="138"/>
      <c r="S67" s="138"/>
      <c r="T67" s="138"/>
      <c r="U67" s="138"/>
      <c r="V67" s="138"/>
      <c r="W67" s="138"/>
      <c r="X67" s="392"/>
      <c r="Y67" s="392"/>
      <c r="Z67" s="145"/>
    </row>
    <row r="68" spans="1:26" s="143" customFormat="1">
      <c r="A68" s="136">
        <v>45411</v>
      </c>
      <c r="B68" s="137">
        <v>12</v>
      </c>
      <c r="C68" s="392">
        <v>0</v>
      </c>
      <c r="D68" s="392"/>
      <c r="E68" s="392">
        <v>0</v>
      </c>
      <c r="F68" s="392"/>
      <c r="G68" s="393">
        <v>0</v>
      </c>
      <c r="H68" s="393"/>
      <c r="I68" s="138">
        <v>0</v>
      </c>
      <c r="J68" s="138">
        <v>0</v>
      </c>
      <c r="K68" s="138">
        <v>0</v>
      </c>
      <c r="L68" s="138">
        <v>0</v>
      </c>
      <c r="M68" s="138">
        <v>0</v>
      </c>
      <c r="N68" s="138">
        <v>0</v>
      </c>
      <c r="O68" s="138">
        <v>0</v>
      </c>
      <c r="P68" s="138">
        <v>0</v>
      </c>
      <c r="Q68" s="138">
        <v>0</v>
      </c>
      <c r="R68" s="138">
        <v>0</v>
      </c>
      <c r="S68" s="138">
        <v>0</v>
      </c>
      <c r="T68" s="138">
        <v>0</v>
      </c>
      <c r="U68" s="138">
        <v>0</v>
      </c>
      <c r="V68" s="138">
        <v>0</v>
      </c>
      <c r="W68" s="138">
        <v>0</v>
      </c>
      <c r="X68" s="392">
        <v>0</v>
      </c>
      <c r="Y68" s="392"/>
      <c r="Z68" s="145"/>
    </row>
    <row r="69" spans="1:26" s="143" customFormat="1">
      <c r="A69" s="136">
        <v>45412</v>
      </c>
      <c r="B69" s="137">
        <v>11</v>
      </c>
      <c r="C69" s="392">
        <v>0</v>
      </c>
      <c r="D69" s="392"/>
      <c r="E69" s="392">
        <v>0</v>
      </c>
      <c r="F69" s="392"/>
      <c r="G69" s="393">
        <v>0</v>
      </c>
      <c r="H69" s="393"/>
      <c r="I69" s="138">
        <v>0</v>
      </c>
      <c r="J69" s="138">
        <v>0</v>
      </c>
      <c r="K69" s="138">
        <v>0</v>
      </c>
      <c r="L69" s="138">
        <v>0</v>
      </c>
      <c r="M69" s="138">
        <v>0</v>
      </c>
      <c r="N69" s="138">
        <v>0</v>
      </c>
      <c r="O69" s="138">
        <v>0</v>
      </c>
      <c r="P69" s="138">
        <v>0</v>
      </c>
      <c r="Q69" s="138">
        <v>0</v>
      </c>
      <c r="R69" s="138">
        <v>0</v>
      </c>
      <c r="S69" s="138">
        <v>0</v>
      </c>
      <c r="T69" s="138">
        <v>0</v>
      </c>
      <c r="U69" s="138">
        <v>0</v>
      </c>
      <c r="V69" s="138">
        <v>0</v>
      </c>
      <c r="W69" s="138">
        <v>0</v>
      </c>
      <c r="X69" s="392">
        <v>0</v>
      </c>
      <c r="Y69" s="392"/>
      <c r="Z69" s="145"/>
    </row>
    <row r="70" spans="1:26" s="143" customFormat="1">
      <c r="A70" s="136">
        <v>45413</v>
      </c>
      <c r="B70" s="137">
        <v>20</v>
      </c>
      <c r="C70" s="392">
        <v>0</v>
      </c>
      <c r="D70" s="392"/>
      <c r="E70" s="392">
        <v>0</v>
      </c>
      <c r="F70" s="392"/>
      <c r="G70" s="393">
        <v>0</v>
      </c>
      <c r="H70" s="393"/>
      <c r="I70" s="138">
        <v>0</v>
      </c>
      <c r="J70" s="138">
        <v>0</v>
      </c>
      <c r="K70" s="138">
        <v>0</v>
      </c>
      <c r="L70" s="138">
        <v>0</v>
      </c>
      <c r="M70" s="138">
        <v>0</v>
      </c>
      <c r="N70" s="138">
        <v>0</v>
      </c>
      <c r="O70" s="138">
        <v>0</v>
      </c>
      <c r="P70" s="138">
        <v>0</v>
      </c>
      <c r="Q70" s="138">
        <v>0</v>
      </c>
      <c r="R70" s="138">
        <v>0</v>
      </c>
      <c r="S70" s="138">
        <v>0</v>
      </c>
      <c r="T70" s="138">
        <v>0</v>
      </c>
      <c r="U70" s="138">
        <v>0</v>
      </c>
      <c r="V70" s="138">
        <v>0</v>
      </c>
      <c r="W70" s="138">
        <v>0</v>
      </c>
      <c r="X70" s="392">
        <v>0</v>
      </c>
      <c r="Y70" s="392"/>
      <c r="Z70" s="145"/>
    </row>
    <row r="71" spans="1:26" s="143" customFormat="1">
      <c r="A71" s="136">
        <v>45414</v>
      </c>
      <c r="B71" s="137">
        <v>16</v>
      </c>
      <c r="C71" s="392">
        <v>2</v>
      </c>
      <c r="D71" s="392"/>
      <c r="E71" s="392">
        <v>2</v>
      </c>
      <c r="F71" s="392"/>
      <c r="G71" s="393">
        <v>0</v>
      </c>
      <c r="H71" s="393"/>
      <c r="I71" s="138">
        <v>0</v>
      </c>
      <c r="J71" s="138">
        <v>0</v>
      </c>
      <c r="K71" s="138">
        <v>0</v>
      </c>
      <c r="L71" s="138">
        <v>0</v>
      </c>
      <c r="M71" s="138">
        <v>0</v>
      </c>
      <c r="N71" s="138">
        <v>0</v>
      </c>
      <c r="O71" s="138">
        <v>0</v>
      </c>
      <c r="P71" s="138">
        <v>0</v>
      </c>
      <c r="Q71" s="138">
        <v>0</v>
      </c>
      <c r="R71" s="138">
        <v>0</v>
      </c>
      <c r="S71" s="138">
        <v>0</v>
      </c>
      <c r="T71" s="138">
        <v>0</v>
      </c>
      <c r="U71" s="138">
        <v>0</v>
      </c>
      <c r="V71" s="138">
        <v>0</v>
      </c>
      <c r="W71" s="138">
        <v>0</v>
      </c>
      <c r="X71" s="392">
        <v>0</v>
      </c>
      <c r="Y71" s="392"/>
      <c r="Z71" s="145"/>
    </row>
    <row r="72" spans="1:26" s="143" customFormat="1">
      <c r="A72" s="136">
        <v>45415</v>
      </c>
      <c r="B72" s="137">
        <v>0</v>
      </c>
      <c r="C72" s="392">
        <v>0</v>
      </c>
      <c r="D72" s="392"/>
      <c r="E72" s="392">
        <v>0</v>
      </c>
      <c r="F72" s="392"/>
      <c r="G72" s="393">
        <v>0</v>
      </c>
      <c r="H72" s="393"/>
      <c r="I72" s="138">
        <v>0</v>
      </c>
      <c r="J72" s="138">
        <v>0</v>
      </c>
      <c r="K72" s="138">
        <v>0</v>
      </c>
      <c r="L72" s="138">
        <v>0</v>
      </c>
      <c r="M72" s="138">
        <v>0</v>
      </c>
      <c r="N72" s="138">
        <v>0</v>
      </c>
      <c r="O72" s="138">
        <v>0</v>
      </c>
      <c r="P72" s="138">
        <v>0</v>
      </c>
      <c r="Q72" s="138">
        <v>0</v>
      </c>
      <c r="R72" s="138">
        <v>0</v>
      </c>
      <c r="S72" s="138">
        <v>0</v>
      </c>
      <c r="T72" s="138">
        <v>0</v>
      </c>
      <c r="U72" s="138">
        <v>0</v>
      </c>
      <c r="V72" s="138">
        <v>0</v>
      </c>
      <c r="W72" s="138">
        <v>0</v>
      </c>
      <c r="X72" s="392">
        <v>0</v>
      </c>
      <c r="Y72" s="392"/>
      <c r="Z72" s="145"/>
    </row>
    <row r="73" spans="1:26" s="162" customFormat="1">
      <c r="A73" s="136">
        <v>45425</v>
      </c>
      <c r="B73" s="137">
        <v>1</v>
      </c>
      <c r="C73" s="392">
        <v>0</v>
      </c>
      <c r="D73" s="392"/>
      <c r="E73" s="392">
        <v>0</v>
      </c>
      <c r="F73" s="392"/>
      <c r="G73" s="393">
        <v>0</v>
      </c>
      <c r="H73" s="393"/>
      <c r="I73" s="159">
        <v>0</v>
      </c>
      <c r="J73" s="159">
        <v>0</v>
      </c>
      <c r="K73" s="159">
        <v>0</v>
      </c>
      <c r="L73" s="159">
        <v>0</v>
      </c>
      <c r="M73" s="159">
        <v>0</v>
      </c>
      <c r="N73" s="159">
        <v>0</v>
      </c>
      <c r="O73" s="159">
        <v>0</v>
      </c>
      <c r="P73" s="159">
        <v>0</v>
      </c>
      <c r="Q73" s="159">
        <v>0</v>
      </c>
      <c r="R73" s="159">
        <v>0</v>
      </c>
      <c r="S73" s="159">
        <v>0</v>
      </c>
      <c r="T73" s="159">
        <v>0</v>
      </c>
      <c r="U73" s="159">
        <v>0</v>
      </c>
      <c r="V73" s="159">
        <v>0</v>
      </c>
      <c r="W73" s="159">
        <v>0</v>
      </c>
      <c r="X73" s="392">
        <v>0</v>
      </c>
      <c r="Y73" s="392"/>
      <c r="Z73" s="145"/>
    </row>
    <row r="74" spans="1:26" s="162" customFormat="1">
      <c r="A74" s="136">
        <v>45426</v>
      </c>
      <c r="B74" s="137">
        <v>0</v>
      </c>
      <c r="C74" s="392">
        <v>0</v>
      </c>
      <c r="D74" s="392"/>
      <c r="E74" s="392">
        <v>0</v>
      </c>
      <c r="F74" s="392"/>
      <c r="G74" s="393">
        <v>0</v>
      </c>
      <c r="H74" s="393"/>
      <c r="I74" s="159">
        <v>0</v>
      </c>
      <c r="J74" s="159">
        <v>0</v>
      </c>
      <c r="K74" s="160">
        <v>0</v>
      </c>
      <c r="L74" s="160">
        <v>0</v>
      </c>
      <c r="M74" s="160">
        <v>0</v>
      </c>
      <c r="N74" s="160">
        <v>0</v>
      </c>
      <c r="O74" s="140">
        <v>0</v>
      </c>
      <c r="P74" s="140">
        <v>0</v>
      </c>
      <c r="Q74" s="161">
        <v>0</v>
      </c>
      <c r="R74" s="159">
        <v>0</v>
      </c>
      <c r="S74" s="159">
        <v>0</v>
      </c>
      <c r="T74" s="159">
        <v>0</v>
      </c>
      <c r="U74" s="159">
        <v>0</v>
      </c>
      <c r="V74" s="159">
        <v>0</v>
      </c>
      <c r="W74" s="159">
        <v>0</v>
      </c>
      <c r="X74" s="392">
        <v>0</v>
      </c>
      <c r="Y74" s="392"/>
      <c r="Z74" s="145"/>
    </row>
    <row r="75" spans="1:26" s="158" customFormat="1">
      <c r="A75" s="151"/>
      <c r="B75" s="152"/>
      <c r="C75" s="398"/>
      <c r="D75" s="398"/>
      <c r="E75" s="398"/>
      <c r="F75" s="398"/>
      <c r="G75" s="399"/>
      <c r="H75" s="399"/>
      <c r="I75" s="153"/>
      <c r="J75" s="153"/>
      <c r="K75" s="154"/>
      <c r="L75" s="154"/>
      <c r="M75" s="154"/>
      <c r="N75" s="154"/>
      <c r="O75" s="155"/>
      <c r="P75" s="155"/>
      <c r="Q75" s="156"/>
      <c r="R75" s="153"/>
      <c r="S75" s="153"/>
      <c r="T75" s="153"/>
      <c r="U75" s="153"/>
      <c r="V75" s="153"/>
      <c r="W75" s="153"/>
      <c r="X75" s="398"/>
      <c r="Y75" s="398"/>
      <c r="Z75" s="157"/>
    </row>
    <row r="76" spans="1:26" s="143" customFormat="1">
      <c r="A76" s="136"/>
      <c r="B76" s="137"/>
      <c r="C76" s="392"/>
      <c r="D76" s="392"/>
      <c r="E76" s="392"/>
      <c r="F76" s="392"/>
      <c r="G76" s="393"/>
      <c r="H76" s="393"/>
      <c r="I76" s="138"/>
      <c r="J76" s="138"/>
      <c r="K76" s="139"/>
      <c r="L76" s="139"/>
      <c r="M76" s="139"/>
      <c r="N76" s="139"/>
      <c r="O76" s="140"/>
      <c r="P76" s="140"/>
      <c r="Q76" s="141"/>
      <c r="R76" s="138"/>
      <c r="S76" s="138"/>
      <c r="T76" s="138"/>
      <c r="U76" s="138"/>
      <c r="V76" s="138"/>
      <c r="W76" s="138"/>
      <c r="X76" s="392"/>
      <c r="Y76" s="392"/>
      <c r="Z76" s="145"/>
    </row>
    <row r="77" spans="1:26" s="158" customFormat="1">
      <c r="A77" s="151"/>
      <c r="B77" s="152"/>
      <c r="C77" s="398"/>
      <c r="D77" s="398"/>
      <c r="E77" s="398"/>
      <c r="F77" s="398"/>
      <c r="G77" s="399"/>
      <c r="H77" s="399"/>
      <c r="I77" s="153"/>
      <c r="J77" s="153"/>
      <c r="K77" s="154"/>
      <c r="L77" s="154"/>
      <c r="M77" s="154"/>
      <c r="N77" s="154"/>
      <c r="O77" s="155"/>
      <c r="P77" s="155"/>
      <c r="Q77" s="156"/>
      <c r="R77" s="153"/>
      <c r="S77" s="153"/>
      <c r="T77" s="153"/>
      <c r="U77" s="153"/>
      <c r="V77" s="153"/>
      <c r="W77" s="153"/>
      <c r="X77" s="398"/>
      <c r="Y77" s="398"/>
      <c r="Z77" s="157"/>
    </row>
    <row r="78" spans="1:26" s="158" customFormat="1">
      <c r="A78" s="151"/>
      <c r="B78" s="152"/>
      <c r="C78" s="398"/>
      <c r="D78" s="398"/>
      <c r="E78" s="398"/>
      <c r="F78" s="398"/>
      <c r="G78" s="399"/>
      <c r="H78" s="399"/>
      <c r="I78" s="153"/>
      <c r="J78" s="153"/>
      <c r="K78" s="154"/>
      <c r="L78" s="154"/>
      <c r="M78" s="154"/>
      <c r="N78" s="154"/>
      <c r="O78" s="155"/>
      <c r="P78" s="155"/>
      <c r="Q78" s="156"/>
      <c r="R78" s="153"/>
      <c r="S78" s="153"/>
      <c r="T78" s="153"/>
      <c r="U78" s="153"/>
      <c r="V78" s="153"/>
      <c r="W78" s="153"/>
      <c r="X78" s="398"/>
      <c r="Y78" s="398"/>
      <c r="Z78" s="157"/>
    </row>
    <row r="79" spans="1:26" s="158" customFormat="1">
      <c r="A79" s="151"/>
      <c r="B79" s="152"/>
      <c r="C79" s="398"/>
      <c r="D79" s="398"/>
      <c r="E79" s="398"/>
      <c r="F79" s="398"/>
      <c r="G79" s="399"/>
      <c r="H79" s="399"/>
      <c r="I79" s="153"/>
      <c r="J79" s="153"/>
      <c r="K79" s="154"/>
      <c r="L79" s="154"/>
      <c r="M79" s="154"/>
      <c r="N79" s="154"/>
      <c r="O79" s="155"/>
      <c r="P79" s="155"/>
      <c r="Q79" s="156"/>
      <c r="R79" s="153"/>
      <c r="S79" s="153"/>
      <c r="T79" s="153"/>
      <c r="U79" s="153"/>
      <c r="V79" s="153"/>
      <c r="W79" s="153"/>
      <c r="X79" s="398"/>
      <c r="Y79" s="398"/>
      <c r="Z79" s="157"/>
    </row>
    <row r="80" spans="1:26" s="150" customFormat="1">
      <c r="A80" s="146"/>
      <c r="B80" s="147"/>
      <c r="C80" s="394"/>
      <c r="D80" s="394"/>
      <c r="E80" s="394"/>
      <c r="F80" s="394"/>
      <c r="G80" s="393"/>
      <c r="H80" s="393"/>
      <c r="I80" s="141"/>
      <c r="J80" s="141"/>
      <c r="K80" s="148"/>
      <c r="L80" s="148"/>
      <c r="M80" s="148"/>
      <c r="N80" s="148"/>
      <c r="O80" s="140"/>
      <c r="P80" s="140"/>
      <c r="Q80" s="141"/>
      <c r="R80" s="141"/>
      <c r="S80" s="141"/>
      <c r="T80" s="141"/>
      <c r="U80" s="141"/>
      <c r="V80" s="141"/>
      <c r="W80" s="141"/>
      <c r="X80" s="394"/>
      <c r="Y80" s="394"/>
      <c r="Z80" s="149"/>
    </row>
    <row r="81" spans="1:26" s="143" customFormat="1">
      <c r="A81" s="136"/>
      <c r="B81" s="137"/>
      <c r="C81" s="392"/>
      <c r="D81" s="392"/>
      <c r="E81" s="392"/>
      <c r="F81" s="392"/>
      <c r="G81" s="393"/>
      <c r="H81" s="393"/>
      <c r="I81" s="138"/>
      <c r="J81" s="138"/>
      <c r="K81" s="139"/>
      <c r="L81" s="139"/>
      <c r="M81" s="139"/>
      <c r="N81" s="139"/>
      <c r="O81" s="140"/>
      <c r="P81" s="140"/>
      <c r="Q81" s="141"/>
      <c r="R81" s="138"/>
      <c r="S81" s="138"/>
      <c r="T81" s="138"/>
      <c r="U81" s="138"/>
      <c r="V81" s="138"/>
      <c r="W81" s="138"/>
      <c r="X81" s="392"/>
      <c r="Y81" s="392"/>
      <c r="Z81" s="145"/>
    </row>
    <row r="82" spans="1:26" s="143" customFormat="1">
      <c r="A82" s="136"/>
      <c r="B82" s="137"/>
      <c r="C82" s="392"/>
      <c r="D82" s="392"/>
      <c r="E82" s="392"/>
      <c r="F82" s="392"/>
      <c r="G82" s="393"/>
      <c r="H82" s="393"/>
      <c r="I82" s="138"/>
      <c r="J82" s="138"/>
      <c r="K82" s="139"/>
      <c r="L82" s="139"/>
      <c r="M82" s="139"/>
      <c r="N82" s="139"/>
      <c r="O82" s="140"/>
      <c r="P82" s="140"/>
      <c r="Q82" s="141"/>
      <c r="R82" s="138"/>
      <c r="S82" s="138"/>
      <c r="T82" s="138"/>
      <c r="U82" s="138"/>
      <c r="V82" s="138"/>
      <c r="W82" s="138"/>
      <c r="X82" s="392"/>
      <c r="Y82" s="392"/>
      <c r="Z82" s="145"/>
    </row>
    <row r="83" spans="1:26" s="143" customFormat="1">
      <c r="A83" s="136"/>
      <c r="B83" s="137"/>
      <c r="C83" s="392"/>
      <c r="D83" s="392"/>
      <c r="E83" s="392"/>
      <c r="F83" s="392"/>
      <c r="G83" s="393"/>
      <c r="H83" s="393"/>
      <c r="I83" s="138"/>
      <c r="J83" s="138"/>
      <c r="K83" s="139"/>
      <c r="L83" s="139"/>
      <c r="M83" s="139"/>
      <c r="N83" s="139"/>
      <c r="O83" s="140"/>
      <c r="P83" s="140"/>
      <c r="Q83" s="141"/>
      <c r="R83" s="138"/>
      <c r="S83" s="138"/>
      <c r="T83" s="138"/>
      <c r="U83" s="138"/>
      <c r="V83" s="138"/>
      <c r="W83" s="138"/>
      <c r="X83" s="392"/>
      <c r="Y83" s="392"/>
      <c r="Z83" s="145"/>
    </row>
    <row r="84" spans="1:26" s="143" customFormat="1">
      <c r="A84" s="136"/>
      <c r="B84" s="137"/>
      <c r="C84" s="392"/>
      <c r="D84" s="392"/>
      <c r="E84" s="392"/>
      <c r="F84" s="392"/>
      <c r="G84" s="393"/>
      <c r="H84" s="393"/>
      <c r="I84" s="138"/>
      <c r="J84" s="138"/>
      <c r="K84" s="139"/>
      <c r="L84" s="139"/>
      <c r="M84" s="139"/>
      <c r="N84" s="139"/>
      <c r="O84" s="140"/>
      <c r="P84" s="140"/>
      <c r="Q84" s="141"/>
      <c r="R84" s="138"/>
      <c r="S84" s="138"/>
      <c r="T84" s="138"/>
      <c r="U84" s="138"/>
      <c r="V84" s="138"/>
      <c r="W84" s="138"/>
      <c r="X84" s="392"/>
      <c r="Y84" s="392"/>
      <c r="Z84" s="145"/>
    </row>
    <row r="85" spans="1:26" s="143" customFormat="1">
      <c r="A85" s="136"/>
      <c r="B85" s="137"/>
      <c r="C85" s="392"/>
      <c r="D85" s="392"/>
      <c r="E85" s="392"/>
      <c r="F85" s="392"/>
      <c r="G85" s="393"/>
      <c r="H85" s="393"/>
      <c r="I85" s="138"/>
      <c r="J85" s="138"/>
      <c r="K85" s="139"/>
      <c r="L85" s="139"/>
      <c r="M85" s="139"/>
      <c r="N85" s="139"/>
      <c r="O85" s="140"/>
      <c r="P85" s="140"/>
      <c r="Q85" s="141"/>
      <c r="R85" s="138"/>
      <c r="S85" s="138"/>
      <c r="T85" s="138"/>
      <c r="U85" s="138"/>
      <c r="V85" s="138"/>
      <c r="W85" s="138"/>
      <c r="X85" s="392"/>
      <c r="Y85" s="392"/>
      <c r="Z85" s="145"/>
    </row>
    <row r="86" spans="1:26" s="143" customFormat="1">
      <c r="A86" s="136"/>
      <c r="B86" s="137"/>
      <c r="C86" s="392"/>
      <c r="D86" s="392"/>
      <c r="E86" s="392"/>
      <c r="F86" s="392"/>
      <c r="G86" s="393"/>
      <c r="H86" s="393"/>
      <c r="I86" s="138"/>
      <c r="J86" s="138"/>
      <c r="K86" s="139"/>
      <c r="L86" s="139"/>
      <c r="M86" s="139"/>
      <c r="N86" s="139"/>
      <c r="O86" s="140"/>
      <c r="P86" s="140"/>
      <c r="Q86" s="141"/>
      <c r="R86" s="138"/>
      <c r="S86" s="138"/>
      <c r="T86" s="138"/>
      <c r="U86" s="138"/>
      <c r="V86" s="138"/>
      <c r="W86" s="138"/>
      <c r="X86" s="392"/>
      <c r="Y86" s="392"/>
      <c r="Z86" s="145"/>
    </row>
    <row r="87" spans="1:26" s="143" customFormat="1">
      <c r="A87" s="136"/>
      <c r="B87" s="137"/>
      <c r="C87" s="392"/>
      <c r="D87" s="392"/>
      <c r="E87" s="392"/>
      <c r="F87" s="392"/>
      <c r="G87" s="393"/>
      <c r="H87" s="393"/>
      <c r="I87" s="138"/>
      <c r="J87" s="138"/>
      <c r="K87" s="139"/>
      <c r="L87" s="139"/>
      <c r="M87" s="139"/>
      <c r="N87" s="139"/>
      <c r="O87" s="140"/>
      <c r="P87" s="140"/>
      <c r="Q87" s="141"/>
      <c r="R87" s="138"/>
      <c r="S87" s="138"/>
      <c r="T87" s="138"/>
      <c r="U87" s="138"/>
      <c r="V87" s="138"/>
      <c r="W87" s="138"/>
      <c r="X87" s="392"/>
      <c r="Y87" s="392"/>
      <c r="Z87" s="145"/>
    </row>
    <row r="88" spans="1:26" s="143" customFormat="1">
      <c r="A88" s="136"/>
      <c r="B88" s="137"/>
      <c r="C88" s="392"/>
      <c r="D88" s="392"/>
      <c r="E88" s="392"/>
      <c r="F88" s="392"/>
      <c r="G88" s="393"/>
      <c r="H88" s="393"/>
      <c r="I88" s="138"/>
      <c r="J88" s="138"/>
      <c r="K88" s="139"/>
      <c r="L88" s="139"/>
      <c r="M88" s="139"/>
      <c r="N88" s="139"/>
      <c r="O88" s="140"/>
      <c r="P88" s="140"/>
      <c r="Q88" s="141"/>
      <c r="R88" s="138"/>
      <c r="S88" s="138"/>
      <c r="T88" s="138"/>
      <c r="U88" s="138"/>
      <c r="V88" s="138"/>
      <c r="W88" s="138"/>
      <c r="X88" s="392"/>
      <c r="Y88" s="392"/>
      <c r="Z88" s="145"/>
    </row>
    <row r="89" spans="1:26" s="143" customFormat="1">
      <c r="A89" s="136"/>
      <c r="B89" s="137"/>
      <c r="C89" s="392"/>
      <c r="D89" s="392"/>
      <c r="E89" s="392"/>
      <c r="F89" s="392"/>
      <c r="G89" s="393"/>
      <c r="H89" s="393"/>
      <c r="I89" s="138"/>
      <c r="J89" s="138"/>
      <c r="K89" s="139"/>
      <c r="L89" s="139"/>
      <c r="M89" s="139"/>
      <c r="N89" s="139"/>
      <c r="O89" s="140"/>
      <c r="P89" s="140"/>
      <c r="Q89" s="141"/>
      <c r="R89" s="138"/>
      <c r="S89" s="138"/>
      <c r="T89" s="138"/>
      <c r="U89" s="138"/>
      <c r="V89" s="138"/>
      <c r="W89" s="138"/>
      <c r="X89" s="392"/>
      <c r="Y89" s="392"/>
      <c r="Z89" s="145"/>
    </row>
    <row r="90" spans="1:26" s="143" customFormat="1">
      <c r="A90" s="136"/>
      <c r="B90" s="137"/>
      <c r="C90" s="392"/>
      <c r="D90" s="392"/>
      <c r="E90" s="392"/>
      <c r="F90" s="392"/>
      <c r="G90" s="393"/>
      <c r="H90" s="393"/>
      <c r="I90" s="138"/>
      <c r="J90" s="138"/>
      <c r="K90" s="139"/>
      <c r="L90" s="139"/>
      <c r="M90" s="139"/>
      <c r="N90" s="139"/>
      <c r="O90" s="140"/>
      <c r="P90" s="140"/>
      <c r="Q90" s="141"/>
      <c r="R90" s="138"/>
      <c r="S90" s="138"/>
      <c r="T90" s="138"/>
      <c r="U90" s="138"/>
      <c r="V90" s="138"/>
      <c r="W90" s="138"/>
      <c r="X90" s="392"/>
      <c r="Y90" s="392"/>
      <c r="Z90" s="145"/>
    </row>
    <row r="91" spans="1:26" s="143" customFormat="1">
      <c r="A91" s="136"/>
      <c r="B91" s="137"/>
      <c r="C91" s="392"/>
      <c r="D91" s="392"/>
      <c r="E91" s="392"/>
      <c r="F91" s="392"/>
      <c r="G91" s="393"/>
      <c r="H91" s="393"/>
      <c r="I91" s="138"/>
      <c r="J91" s="138"/>
      <c r="K91" s="139"/>
      <c r="L91" s="139"/>
      <c r="M91" s="139"/>
      <c r="N91" s="139"/>
      <c r="O91" s="140"/>
      <c r="P91" s="140"/>
      <c r="Q91" s="141"/>
      <c r="R91" s="138"/>
      <c r="S91" s="138"/>
      <c r="T91" s="138"/>
      <c r="U91" s="138"/>
      <c r="V91" s="138"/>
      <c r="W91" s="138"/>
      <c r="X91" s="392"/>
      <c r="Y91" s="392"/>
      <c r="Z91" s="145"/>
    </row>
    <row r="92" spans="1:26" s="143" customFormat="1">
      <c r="A92" s="136"/>
      <c r="B92" s="137"/>
      <c r="C92" s="392"/>
      <c r="D92" s="392"/>
      <c r="E92" s="392"/>
      <c r="F92" s="392"/>
      <c r="G92" s="393"/>
      <c r="H92" s="393"/>
      <c r="I92" s="138"/>
      <c r="J92" s="138"/>
      <c r="K92" s="139"/>
      <c r="L92" s="139"/>
      <c r="M92" s="139"/>
      <c r="N92" s="139"/>
      <c r="O92" s="140"/>
      <c r="P92" s="140"/>
      <c r="Q92" s="141"/>
      <c r="R92" s="138"/>
      <c r="S92" s="138"/>
      <c r="T92" s="138"/>
      <c r="U92" s="138"/>
      <c r="V92" s="138"/>
      <c r="W92" s="138"/>
      <c r="X92" s="392"/>
      <c r="Y92" s="392"/>
      <c r="Z92" s="145"/>
    </row>
    <row r="93" spans="1:26" s="143" customFormat="1">
      <c r="A93" s="136"/>
      <c r="B93" s="137"/>
      <c r="C93" s="392"/>
      <c r="D93" s="392"/>
      <c r="E93" s="392"/>
      <c r="F93" s="392"/>
      <c r="G93" s="393"/>
      <c r="H93" s="393"/>
      <c r="I93" s="138"/>
      <c r="J93" s="138"/>
      <c r="K93" s="139"/>
      <c r="L93" s="139"/>
      <c r="M93" s="139"/>
      <c r="N93" s="139"/>
      <c r="O93" s="140"/>
      <c r="P93" s="140"/>
      <c r="Q93" s="141"/>
      <c r="R93" s="138"/>
      <c r="S93" s="138"/>
      <c r="T93" s="138"/>
      <c r="U93" s="138"/>
      <c r="V93" s="138"/>
      <c r="W93" s="138"/>
      <c r="X93" s="392"/>
      <c r="Y93" s="392"/>
      <c r="Z93" s="145"/>
    </row>
    <row r="94" spans="1:26" s="143" customFormat="1">
      <c r="A94" s="136"/>
      <c r="B94" s="137"/>
      <c r="C94" s="392"/>
      <c r="D94" s="392"/>
      <c r="E94" s="392"/>
      <c r="F94" s="392"/>
      <c r="G94" s="393"/>
      <c r="H94" s="393"/>
      <c r="I94" s="138"/>
      <c r="J94" s="138"/>
      <c r="K94" s="139"/>
      <c r="L94" s="139"/>
      <c r="M94" s="139"/>
      <c r="N94" s="139"/>
      <c r="O94" s="140"/>
      <c r="P94" s="140"/>
      <c r="Q94" s="141"/>
      <c r="R94" s="138"/>
      <c r="S94" s="138"/>
      <c r="T94" s="138"/>
      <c r="U94" s="138"/>
      <c r="V94" s="138"/>
      <c r="W94" s="138"/>
      <c r="X94" s="392"/>
      <c r="Y94" s="392"/>
      <c r="Z94" s="145"/>
    </row>
    <row r="95" spans="1:26" s="143" customFormat="1">
      <c r="A95" s="136"/>
      <c r="B95" s="137"/>
      <c r="C95" s="392"/>
      <c r="D95" s="392"/>
      <c r="E95" s="392"/>
      <c r="F95" s="392"/>
      <c r="G95" s="393"/>
      <c r="H95" s="393"/>
      <c r="I95" s="138"/>
      <c r="J95" s="138"/>
      <c r="K95" s="139"/>
      <c r="L95" s="139"/>
      <c r="M95" s="139"/>
      <c r="N95" s="139"/>
      <c r="O95" s="140"/>
      <c r="P95" s="140"/>
      <c r="Q95" s="141"/>
      <c r="R95" s="138"/>
      <c r="S95" s="138"/>
      <c r="T95" s="138"/>
      <c r="U95" s="138"/>
      <c r="V95" s="138"/>
      <c r="W95" s="138"/>
      <c r="X95" s="392"/>
      <c r="Y95" s="392"/>
      <c r="Z95" s="145"/>
    </row>
    <row r="96" spans="1:26" s="143" customFormat="1">
      <c r="A96" s="136"/>
      <c r="B96" s="137"/>
      <c r="C96" s="392"/>
      <c r="D96" s="392"/>
      <c r="E96" s="392"/>
      <c r="F96" s="392"/>
      <c r="G96" s="393"/>
      <c r="H96" s="393"/>
      <c r="I96" s="138"/>
      <c r="J96" s="138"/>
      <c r="K96" s="139"/>
      <c r="L96" s="139"/>
      <c r="M96" s="139"/>
      <c r="N96" s="139"/>
      <c r="O96" s="140"/>
      <c r="P96" s="140"/>
      <c r="Q96" s="141"/>
      <c r="R96" s="138"/>
      <c r="S96" s="138"/>
      <c r="T96" s="138"/>
      <c r="U96" s="138"/>
      <c r="V96" s="138"/>
      <c r="W96" s="138"/>
      <c r="X96" s="392"/>
      <c r="Y96" s="392"/>
      <c r="Z96" s="145"/>
    </row>
    <row r="97" spans="1:26" s="143" customFormat="1">
      <c r="A97" s="136"/>
      <c r="B97" s="137"/>
      <c r="C97" s="392"/>
      <c r="D97" s="392"/>
      <c r="E97" s="392"/>
      <c r="F97" s="392"/>
      <c r="G97" s="393"/>
      <c r="H97" s="393"/>
      <c r="I97" s="138"/>
      <c r="J97" s="138"/>
      <c r="K97" s="139"/>
      <c r="L97" s="139"/>
      <c r="M97" s="139"/>
      <c r="N97" s="139"/>
      <c r="O97" s="140"/>
      <c r="P97" s="140"/>
      <c r="Q97" s="141"/>
      <c r="R97" s="138"/>
      <c r="S97" s="138"/>
      <c r="T97" s="138"/>
      <c r="U97" s="138"/>
      <c r="V97" s="138"/>
      <c r="W97" s="138"/>
      <c r="X97" s="392"/>
      <c r="Y97" s="392"/>
      <c r="Z97" s="145"/>
    </row>
    <row r="98" spans="1:26" s="143" customFormat="1">
      <c r="A98" s="136"/>
      <c r="B98" s="137"/>
      <c r="C98" s="392"/>
      <c r="D98" s="392"/>
      <c r="E98" s="392"/>
      <c r="F98" s="392"/>
      <c r="G98" s="393"/>
      <c r="H98" s="393"/>
      <c r="I98" s="138"/>
      <c r="J98" s="138"/>
      <c r="K98" s="139"/>
      <c r="L98" s="139"/>
      <c r="M98" s="139"/>
      <c r="N98" s="139"/>
      <c r="O98" s="140"/>
      <c r="P98" s="140"/>
      <c r="Q98" s="141"/>
      <c r="R98" s="138"/>
      <c r="S98" s="138"/>
      <c r="T98" s="138"/>
      <c r="U98" s="138"/>
      <c r="V98" s="138"/>
      <c r="W98" s="138"/>
      <c r="X98" s="392"/>
      <c r="Y98" s="392"/>
      <c r="Z98" s="145"/>
    </row>
    <row r="99" spans="1:26" s="143" customFormat="1">
      <c r="A99" s="136"/>
      <c r="B99" s="137"/>
      <c r="C99" s="392"/>
      <c r="D99" s="392"/>
      <c r="E99" s="392"/>
      <c r="F99" s="392"/>
      <c r="G99" s="393"/>
      <c r="H99" s="393"/>
      <c r="I99" s="138"/>
      <c r="J99" s="138"/>
      <c r="K99" s="139"/>
      <c r="L99" s="139"/>
      <c r="M99" s="139"/>
      <c r="N99" s="139"/>
      <c r="O99" s="140"/>
      <c r="P99" s="140"/>
      <c r="Q99" s="141"/>
      <c r="R99" s="138"/>
      <c r="S99" s="138"/>
      <c r="T99" s="138"/>
      <c r="U99" s="138"/>
      <c r="V99" s="138"/>
      <c r="W99" s="138"/>
      <c r="X99" s="392"/>
      <c r="Y99" s="392"/>
      <c r="Z99" s="145"/>
    </row>
    <row r="100" spans="1:26" s="143" customFormat="1">
      <c r="A100" s="136"/>
      <c r="B100" s="137"/>
      <c r="C100" s="392"/>
      <c r="D100" s="392"/>
      <c r="E100" s="392"/>
      <c r="F100" s="392"/>
      <c r="G100" s="393"/>
      <c r="H100" s="393"/>
      <c r="I100" s="138"/>
      <c r="J100" s="138"/>
      <c r="K100" s="139"/>
      <c r="L100" s="139"/>
      <c r="M100" s="139"/>
      <c r="N100" s="139"/>
      <c r="O100" s="140"/>
      <c r="P100" s="140"/>
      <c r="Q100" s="141"/>
      <c r="R100" s="138"/>
      <c r="S100" s="138"/>
      <c r="T100" s="138"/>
      <c r="U100" s="138"/>
      <c r="V100" s="138"/>
      <c r="W100" s="138"/>
      <c r="X100" s="392"/>
      <c r="Y100" s="392"/>
      <c r="Z100" s="145"/>
    </row>
    <row r="101" spans="1:26" s="143" customFormat="1">
      <c r="A101" s="186"/>
      <c r="B101" s="137"/>
      <c r="C101" s="392"/>
      <c r="D101" s="392"/>
      <c r="E101" s="392"/>
      <c r="F101" s="392"/>
      <c r="G101" s="393"/>
      <c r="H101" s="393"/>
      <c r="I101" s="138"/>
      <c r="J101" s="138"/>
      <c r="K101" s="139"/>
      <c r="L101" s="139"/>
      <c r="M101" s="139"/>
      <c r="N101" s="139"/>
      <c r="O101" s="140"/>
      <c r="P101" s="140"/>
      <c r="Q101" s="141"/>
      <c r="R101" s="138"/>
      <c r="S101" s="138"/>
      <c r="T101" s="138"/>
      <c r="U101" s="138"/>
      <c r="V101" s="138"/>
      <c r="W101" s="138"/>
      <c r="X101" s="392"/>
      <c r="Y101" s="392"/>
      <c r="Z101" s="145"/>
    </row>
    <row r="102" spans="1:26" s="143" customFormat="1">
      <c r="A102" s="186"/>
      <c r="B102" s="137"/>
      <c r="C102" s="392"/>
      <c r="D102" s="392"/>
      <c r="E102" s="392"/>
      <c r="F102" s="392"/>
      <c r="G102" s="393"/>
      <c r="H102" s="393"/>
      <c r="I102" s="138"/>
      <c r="J102" s="138"/>
      <c r="K102" s="139"/>
      <c r="L102" s="139"/>
      <c r="M102" s="139"/>
      <c r="N102" s="139"/>
      <c r="O102" s="140"/>
      <c r="P102" s="140"/>
      <c r="Q102" s="141"/>
      <c r="R102" s="138"/>
      <c r="S102" s="138"/>
      <c r="T102" s="138"/>
      <c r="U102" s="138"/>
      <c r="V102" s="138"/>
      <c r="W102" s="138"/>
      <c r="X102" s="392"/>
      <c r="Y102" s="392"/>
      <c r="Z102" s="145"/>
    </row>
    <row r="103" spans="1:26" s="143" customFormat="1">
      <c r="A103" s="186"/>
      <c r="B103" s="137"/>
      <c r="C103" s="392"/>
      <c r="D103" s="392"/>
      <c r="E103" s="392"/>
      <c r="F103" s="392"/>
      <c r="G103" s="393"/>
      <c r="H103" s="393"/>
      <c r="I103" s="138"/>
      <c r="J103" s="138"/>
      <c r="K103" s="139"/>
      <c r="L103" s="139"/>
      <c r="M103" s="139"/>
      <c r="N103" s="139"/>
      <c r="O103" s="140"/>
      <c r="P103" s="140"/>
      <c r="Q103" s="141"/>
      <c r="R103" s="138"/>
      <c r="S103" s="138"/>
      <c r="T103" s="138"/>
      <c r="U103" s="138"/>
      <c r="V103" s="138"/>
      <c r="W103" s="138"/>
      <c r="X103" s="392"/>
      <c r="Y103" s="392"/>
      <c r="Z103" s="145"/>
    </row>
    <row r="104" spans="1:26" s="143" customFormat="1">
      <c r="A104" s="186"/>
      <c r="B104" s="137"/>
      <c r="C104" s="392"/>
      <c r="D104" s="392"/>
      <c r="E104" s="392"/>
      <c r="F104" s="392"/>
      <c r="G104" s="393"/>
      <c r="H104" s="393"/>
      <c r="I104" s="138"/>
      <c r="J104" s="138"/>
      <c r="K104" s="139"/>
      <c r="L104" s="139"/>
      <c r="M104" s="139"/>
      <c r="N104" s="139"/>
      <c r="O104" s="140"/>
      <c r="P104" s="140"/>
      <c r="Q104" s="141"/>
      <c r="R104" s="138"/>
      <c r="S104" s="138"/>
      <c r="T104" s="138"/>
      <c r="U104" s="138"/>
      <c r="V104" s="138"/>
      <c r="W104" s="138"/>
      <c r="X104" s="392"/>
      <c r="Y104" s="392"/>
      <c r="Z104" s="145"/>
    </row>
    <row r="105" spans="1:26" s="143" customFormat="1">
      <c r="A105" s="186"/>
      <c r="B105" s="137"/>
      <c r="C105" s="392"/>
      <c r="D105" s="392"/>
      <c r="E105" s="392"/>
      <c r="F105" s="392"/>
      <c r="G105" s="393"/>
      <c r="H105" s="393"/>
      <c r="I105" s="138"/>
      <c r="J105" s="138"/>
      <c r="K105" s="139"/>
      <c r="L105" s="139"/>
      <c r="M105" s="139"/>
      <c r="N105" s="139"/>
      <c r="O105" s="140"/>
      <c r="P105" s="140"/>
      <c r="Q105" s="141"/>
      <c r="R105" s="138"/>
      <c r="S105" s="138"/>
      <c r="T105" s="138"/>
      <c r="U105" s="138"/>
      <c r="V105" s="138"/>
      <c r="W105" s="138"/>
      <c r="X105" s="392"/>
      <c r="Y105" s="392"/>
      <c r="Z105" s="145"/>
    </row>
    <row r="106" spans="1:26" s="143" customFormat="1">
      <c r="A106" s="186"/>
      <c r="B106" s="137"/>
      <c r="C106" s="392"/>
      <c r="D106" s="392"/>
      <c r="E106" s="392"/>
      <c r="F106" s="392"/>
      <c r="G106" s="393"/>
      <c r="H106" s="393"/>
      <c r="I106" s="138"/>
      <c r="J106" s="138"/>
      <c r="K106" s="139"/>
      <c r="L106" s="139"/>
      <c r="M106" s="139"/>
      <c r="N106" s="139"/>
      <c r="O106" s="140"/>
      <c r="P106" s="140"/>
      <c r="Q106" s="141"/>
      <c r="R106" s="138"/>
      <c r="S106" s="138"/>
      <c r="T106" s="138"/>
      <c r="U106" s="138"/>
      <c r="V106" s="138"/>
      <c r="W106" s="138"/>
      <c r="X106" s="392"/>
      <c r="Y106" s="392"/>
      <c r="Z106" s="145"/>
    </row>
    <row r="107" spans="1:26" s="143" customFormat="1">
      <c r="A107" s="186"/>
      <c r="B107" s="137"/>
      <c r="C107" s="392"/>
      <c r="D107" s="392"/>
      <c r="E107" s="392"/>
      <c r="F107" s="392"/>
      <c r="G107" s="393"/>
      <c r="H107" s="393"/>
      <c r="I107" s="138"/>
      <c r="J107" s="138"/>
      <c r="K107" s="139"/>
      <c r="L107" s="139"/>
      <c r="M107" s="139"/>
      <c r="N107" s="139"/>
      <c r="O107" s="140"/>
      <c r="P107" s="140"/>
      <c r="Q107" s="141"/>
      <c r="R107" s="138"/>
      <c r="S107" s="138"/>
      <c r="T107" s="138"/>
      <c r="U107" s="138"/>
      <c r="V107" s="138"/>
      <c r="W107" s="138"/>
      <c r="X107" s="392"/>
      <c r="Y107" s="392"/>
      <c r="Z107" s="145"/>
    </row>
    <row r="108" spans="1:26" s="143" customFormat="1">
      <c r="A108" s="186"/>
      <c r="B108" s="137"/>
      <c r="C108" s="392"/>
      <c r="D108" s="392"/>
      <c r="E108" s="392"/>
      <c r="F108" s="392"/>
      <c r="G108" s="393"/>
      <c r="H108" s="393"/>
      <c r="I108" s="138"/>
      <c r="J108" s="138"/>
      <c r="K108" s="139"/>
      <c r="L108" s="139"/>
      <c r="M108" s="139"/>
      <c r="N108" s="139"/>
      <c r="O108" s="140"/>
      <c r="P108" s="140"/>
      <c r="Q108" s="141"/>
      <c r="R108" s="138"/>
      <c r="S108" s="138"/>
      <c r="T108" s="138"/>
      <c r="U108" s="138"/>
      <c r="V108" s="138"/>
      <c r="W108" s="138"/>
      <c r="X108" s="392"/>
      <c r="Y108" s="392"/>
      <c r="Z108" s="145"/>
    </row>
    <row r="109" spans="1:26" s="143" customFormat="1">
      <c r="A109" s="186"/>
      <c r="B109" s="137"/>
      <c r="C109" s="392"/>
      <c r="D109" s="392"/>
      <c r="E109" s="392"/>
      <c r="F109" s="392"/>
      <c r="G109" s="393"/>
      <c r="H109" s="393"/>
      <c r="I109" s="138"/>
      <c r="J109" s="138"/>
      <c r="K109" s="139"/>
      <c r="L109" s="139"/>
      <c r="M109" s="139"/>
      <c r="N109" s="139"/>
      <c r="O109" s="140"/>
      <c r="P109" s="140"/>
      <c r="Q109" s="141"/>
      <c r="R109" s="138"/>
      <c r="S109" s="138"/>
      <c r="T109" s="138"/>
      <c r="U109" s="138"/>
      <c r="V109" s="138"/>
      <c r="W109" s="138"/>
      <c r="X109" s="392"/>
      <c r="Y109" s="392"/>
      <c r="Z109" s="145"/>
    </row>
    <row r="110" spans="1:26" s="143" customFormat="1">
      <c r="A110" s="186"/>
      <c r="B110" s="137"/>
      <c r="C110" s="392"/>
      <c r="D110" s="392"/>
      <c r="E110" s="392"/>
      <c r="F110" s="392"/>
      <c r="G110" s="393"/>
      <c r="H110" s="393"/>
      <c r="I110" s="138"/>
      <c r="J110" s="138"/>
      <c r="K110" s="139"/>
      <c r="L110" s="139"/>
      <c r="M110" s="139"/>
      <c r="N110" s="139"/>
      <c r="O110" s="140"/>
      <c r="P110" s="140"/>
      <c r="Q110" s="141"/>
      <c r="R110" s="138"/>
      <c r="S110" s="138"/>
      <c r="T110" s="138"/>
      <c r="U110" s="138"/>
      <c r="V110" s="138"/>
      <c r="W110" s="138"/>
      <c r="X110" s="392"/>
      <c r="Y110" s="392"/>
      <c r="Z110" s="145"/>
    </row>
    <row r="111" spans="1:26" s="143" customFormat="1">
      <c r="A111" s="186"/>
      <c r="B111" s="137"/>
      <c r="C111" s="392"/>
      <c r="D111" s="392"/>
      <c r="E111" s="392"/>
      <c r="F111" s="392"/>
      <c r="G111" s="393"/>
      <c r="H111" s="393"/>
      <c r="I111" s="138"/>
      <c r="J111" s="138"/>
      <c r="K111" s="139"/>
      <c r="L111" s="139"/>
      <c r="M111" s="139"/>
      <c r="N111" s="139"/>
      <c r="O111" s="140"/>
      <c r="P111" s="140"/>
      <c r="Q111" s="141"/>
      <c r="R111" s="138"/>
      <c r="S111" s="138"/>
      <c r="T111" s="138"/>
      <c r="U111" s="138"/>
      <c r="V111" s="138"/>
      <c r="W111" s="138"/>
      <c r="X111" s="392"/>
      <c r="Y111" s="392"/>
      <c r="Z111" s="145"/>
    </row>
    <row r="112" spans="1:26" s="143" customFormat="1">
      <c r="A112" s="186"/>
      <c r="B112" s="137"/>
      <c r="C112" s="392"/>
      <c r="D112" s="392"/>
      <c r="E112" s="392"/>
      <c r="F112" s="392"/>
      <c r="G112" s="393"/>
      <c r="H112" s="393"/>
      <c r="I112" s="138"/>
      <c r="J112" s="138"/>
      <c r="K112" s="139"/>
      <c r="L112" s="139"/>
      <c r="M112" s="139"/>
      <c r="N112" s="139"/>
      <c r="O112" s="140"/>
      <c r="P112" s="140"/>
      <c r="Q112" s="141"/>
      <c r="R112" s="138"/>
      <c r="S112" s="138"/>
      <c r="T112" s="138"/>
      <c r="U112" s="138"/>
      <c r="V112" s="138"/>
      <c r="W112" s="138"/>
      <c r="X112" s="392"/>
      <c r="Y112" s="392"/>
      <c r="Z112" s="145"/>
    </row>
    <row r="113" spans="1:26" s="143" customFormat="1">
      <c r="A113" s="186"/>
      <c r="B113" s="137"/>
      <c r="C113" s="392"/>
      <c r="D113" s="392"/>
      <c r="E113" s="392"/>
      <c r="F113" s="392"/>
      <c r="G113" s="393"/>
      <c r="H113" s="393"/>
      <c r="I113" s="138"/>
      <c r="J113" s="138"/>
      <c r="K113" s="139"/>
      <c r="L113" s="139"/>
      <c r="M113" s="139"/>
      <c r="N113" s="139"/>
      <c r="O113" s="140"/>
      <c r="P113" s="140"/>
      <c r="Q113" s="141"/>
      <c r="R113" s="138"/>
      <c r="S113" s="138"/>
      <c r="T113" s="138"/>
      <c r="U113" s="138"/>
      <c r="V113" s="138"/>
      <c r="W113" s="138"/>
      <c r="X113" s="392"/>
      <c r="Y113" s="392"/>
      <c r="Z113" s="145"/>
    </row>
    <row r="114" spans="1:26" s="143" customFormat="1">
      <c r="A114" s="186"/>
      <c r="B114" s="137"/>
      <c r="C114" s="392"/>
      <c r="D114" s="392"/>
      <c r="E114" s="392"/>
      <c r="F114" s="392"/>
      <c r="G114" s="393"/>
      <c r="H114" s="393"/>
      <c r="I114" s="138"/>
      <c r="J114" s="138"/>
      <c r="K114" s="139"/>
      <c r="L114" s="139"/>
      <c r="M114" s="139"/>
      <c r="N114" s="139"/>
      <c r="O114" s="140"/>
      <c r="P114" s="140"/>
      <c r="Q114" s="141"/>
      <c r="R114" s="138"/>
      <c r="S114" s="138"/>
      <c r="T114" s="138"/>
      <c r="U114" s="138"/>
      <c r="V114" s="138"/>
      <c r="W114" s="138"/>
      <c r="X114" s="392"/>
      <c r="Y114" s="392"/>
      <c r="Z114" s="145"/>
    </row>
    <row r="115" spans="1:26" s="143" customFormat="1">
      <c r="A115" s="186"/>
      <c r="B115" s="137"/>
      <c r="C115" s="392"/>
      <c r="D115" s="392"/>
      <c r="E115" s="392"/>
      <c r="F115" s="392"/>
      <c r="G115" s="393"/>
      <c r="H115" s="393"/>
      <c r="I115" s="138"/>
      <c r="J115" s="138"/>
      <c r="K115" s="139"/>
      <c r="L115" s="139"/>
      <c r="M115" s="139"/>
      <c r="N115" s="139"/>
      <c r="O115" s="140"/>
      <c r="P115" s="140"/>
      <c r="Q115" s="141"/>
      <c r="R115" s="138"/>
      <c r="S115" s="138"/>
      <c r="T115" s="138"/>
      <c r="U115" s="138"/>
      <c r="V115" s="138"/>
      <c r="W115" s="138"/>
      <c r="X115" s="392"/>
      <c r="Y115" s="392"/>
      <c r="Z115" s="145"/>
    </row>
    <row r="116" spans="1:26" s="143" customFormat="1">
      <c r="A116" s="186"/>
      <c r="B116" s="137"/>
      <c r="C116" s="392"/>
      <c r="D116" s="392"/>
      <c r="E116" s="392"/>
      <c r="F116" s="392"/>
      <c r="G116" s="393"/>
      <c r="H116" s="393"/>
      <c r="I116" s="138"/>
      <c r="J116" s="138"/>
      <c r="K116" s="139"/>
      <c r="L116" s="139"/>
      <c r="M116" s="139"/>
      <c r="N116" s="139"/>
      <c r="O116" s="140"/>
      <c r="P116" s="140"/>
      <c r="Q116" s="141"/>
      <c r="R116" s="138"/>
      <c r="S116" s="138"/>
      <c r="T116" s="138"/>
      <c r="U116" s="138"/>
      <c r="V116" s="138"/>
      <c r="W116" s="138"/>
      <c r="X116" s="392"/>
      <c r="Y116" s="392"/>
      <c r="Z116" s="145"/>
    </row>
    <row r="117" spans="1:26" s="143" customFormat="1">
      <c r="A117" s="186"/>
      <c r="B117" s="137"/>
      <c r="C117" s="392"/>
      <c r="D117" s="392"/>
      <c r="E117" s="392"/>
      <c r="F117" s="392"/>
      <c r="G117" s="393"/>
      <c r="H117" s="393"/>
      <c r="I117" s="138"/>
      <c r="J117" s="138"/>
      <c r="K117" s="139"/>
      <c r="L117" s="139"/>
      <c r="M117" s="139"/>
      <c r="N117" s="139"/>
      <c r="O117" s="140"/>
      <c r="P117" s="140"/>
      <c r="Q117" s="141"/>
      <c r="R117" s="138"/>
      <c r="S117" s="138"/>
      <c r="T117" s="138"/>
      <c r="U117" s="138"/>
      <c r="V117" s="138"/>
      <c r="W117" s="138"/>
      <c r="X117" s="392"/>
      <c r="Y117" s="392"/>
      <c r="Z117" s="145"/>
    </row>
    <row r="118" spans="1:26" s="143" customFormat="1">
      <c r="A118" s="186"/>
      <c r="B118" s="137"/>
      <c r="C118" s="392"/>
      <c r="D118" s="392"/>
      <c r="E118" s="392"/>
      <c r="F118" s="392"/>
      <c r="G118" s="393"/>
      <c r="H118" s="393"/>
      <c r="I118" s="138"/>
      <c r="J118" s="138"/>
      <c r="K118" s="139"/>
      <c r="L118" s="139"/>
      <c r="M118" s="139"/>
      <c r="N118" s="139"/>
      <c r="O118" s="140"/>
      <c r="P118" s="140"/>
      <c r="Q118" s="141"/>
      <c r="R118" s="138"/>
      <c r="S118" s="138"/>
      <c r="T118" s="138"/>
      <c r="U118" s="138"/>
      <c r="V118" s="138"/>
      <c r="W118" s="138"/>
      <c r="X118" s="392"/>
      <c r="Y118" s="392"/>
      <c r="Z118" s="145"/>
    </row>
    <row r="119" spans="1:26" s="143" customFormat="1">
      <c r="A119" s="186"/>
      <c r="B119" s="137"/>
      <c r="C119" s="392"/>
      <c r="D119" s="392"/>
      <c r="E119" s="392"/>
      <c r="F119" s="392"/>
      <c r="G119" s="393"/>
      <c r="H119" s="393"/>
      <c r="I119" s="138"/>
      <c r="J119" s="138"/>
      <c r="K119" s="139"/>
      <c r="L119" s="139"/>
      <c r="M119" s="139"/>
      <c r="N119" s="139"/>
      <c r="O119" s="140"/>
      <c r="P119" s="140"/>
      <c r="Q119" s="141"/>
      <c r="R119" s="138"/>
      <c r="S119" s="138"/>
      <c r="T119" s="138"/>
      <c r="U119" s="138"/>
      <c r="V119" s="138"/>
      <c r="W119" s="138"/>
      <c r="X119" s="392"/>
      <c r="Y119" s="392"/>
      <c r="Z119" s="145"/>
    </row>
    <row r="120" spans="1:26" s="143" customFormat="1">
      <c r="A120" s="186"/>
      <c r="B120" s="137"/>
      <c r="C120" s="392"/>
      <c r="D120" s="392"/>
      <c r="E120" s="392"/>
      <c r="F120" s="392"/>
      <c r="G120" s="393"/>
      <c r="H120" s="393"/>
      <c r="I120" s="138"/>
      <c r="J120" s="138"/>
      <c r="K120" s="139"/>
      <c r="L120" s="139"/>
      <c r="M120" s="139"/>
      <c r="N120" s="139"/>
      <c r="O120" s="140"/>
      <c r="P120" s="140"/>
      <c r="Q120" s="141"/>
      <c r="R120" s="138"/>
      <c r="S120" s="138"/>
      <c r="T120" s="138"/>
      <c r="U120" s="138"/>
      <c r="V120" s="138"/>
      <c r="W120" s="138"/>
      <c r="X120" s="392"/>
      <c r="Y120" s="392"/>
      <c r="Z120" s="145"/>
    </row>
    <row r="121" spans="1:26" s="143" customFormat="1">
      <c r="A121" s="186"/>
      <c r="B121" s="137"/>
      <c r="C121" s="392"/>
      <c r="D121" s="392"/>
      <c r="E121" s="392"/>
      <c r="F121" s="392"/>
      <c r="G121" s="393"/>
      <c r="H121" s="393"/>
      <c r="I121" s="138"/>
      <c r="J121" s="138"/>
      <c r="K121" s="139"/>
      <c r="L121" s="139"/>
      <c r="M121" s="139"/>
      <c r="N121" s="139"/>
      <c r="O121" s="140"/>
      <c r="P121" s="140"/>
      <c r="Q121" s="141"/>
      <c r="R121" s="138"/>
      <c r="S121" s="138"/>
      <c r="T121" s="138"/>
      <c r="U121" s="138"/>
      <c r="V121" s="138"/>
      <c r="W121" s="138"/>
      <c r="X121" s="392"/>
      <c r="Y121" s="392"/>
      <c r="Z121" s="145"/>
    </row>
    <row r="122" spans="1:26" s="143" customFormat="1">
      <c r="A122" s="186"/>
      <c r="B122" s="137"/>
      <c r="C122" s="392"/>
      <c r="D122" s="392"/>
      <c r="E122" s="392"/>
      <c r="F122" s="392"/>
      <c r="G122" s="393"/>
      <c r="H122" s="393"/>
      <c r="I122" s="138"/>
      <c r="J122" s="138"/>
      <c r="K122" s="139"/>
      <c r="L122" s="139"/>
      <c r="M122" s="139"/>
      <c r="N122" s="139"/>
      <c r="O122" s="140"/>
      <c r="P122" s="140"/>
      <c r="Q122" s="141"/>
      <c r="R122" s="138"/>
      <c r="S122" s="138"/>
      <c r="T122" s="138"/>
      <c r="U122" s="138"/>
      <c r="V122" s="138"/>
      <c r="W122" s="138"/>
      <c r="X122" s="392"/>
      <c r="Y122" s="392"/>
      <c r="Z122" s="145"/>
    </row>
    <row r="123" spans="1:26" s="143" customFormat="1">
      <c r="A123" s="186"/>
      <c r="B123" s="137"/>
      <c r="C123" s="392"/>
      <c r="D123" s="392"/>
      <c r="E123" s="392"/>
      <c r="F123" s="392"/>
      <c r="G123" s="393"/>
      <c r="H123" s="393"/>
      <c r="I123" s="138"/>
      <c r="J123" s="138"/>
      <c r="K123" s="139"/>
      <c r="L123" s="139"/>
      <c r="M123" s="139"/>
      <c r="N123" s="139"/>
      <c r="O123" s="140"/>
      <c r="P123" s="140"/>
      <c r="Q123" s="141"/>
      <c r="R123" s="138"/>
      <c r="S123" s="138"/>
      <c r="T123" s="138"/>
      <c r="U123" s="138"/>
      <c r="V123" s="138"/>
      <c r="W123" s="138"/>
      <c r="X123" s="392"/>
      <c r="Y123" s="392"/>
      <c r="Z123" s="145"/>
    </row>
    <row r="124" spans="1:26" s="143" customFormat="1">
      <c r="A124" s="186"/>
      <c r="B124" s="137"/>
      <c r="C124" s="392"/>
      <c r="D124" s="392"/>
      <c r="E124" s="392"/>
      <c r="F124" s="392"/>
      <c r="G124" s="393"/>
      <c r="H124" s="393"/>
      <c r="I124" s="138"/>
      <c r="J124" s="138"/>
      <c r="K124" s="139"/>
      <c r="L124" s="139"/>
      <c r="M124" s="139"/>
      <c r="N124" s="139"/>
      <c r="O124" s="140"/>
      <c r="P124" s="140"/>
      <c r="Q124" s="141"/>
      <c r="R124" s="138"/>
      <c r="S124" s="138"/>
      <c r="T124" s="138"/>
      <c r="U124" s="138"/>
      <c r="V124" s="138"/>
      <c r="W124" s="138"/>
      <c r="X124" s="392"/>
      <c r="Y124" s="392"/>
      <c r="Z124" s="145"/>
    </row>
    <row r="125" spans="1:26" s="143" customFormat="1">
      <c r="A125" s="186"/>
      <c r="B125" s="137"/>
      <c r="C125" s="392"/>
      <c r="D125" s="392"/>
      <c r="E125" s="392"/>
      <c r="F125" s="392"/>
      <c r="G125" s="393"/>
      <c r="H125" s="393"/>
      <c r="I125" s="138"/>
      <c r="J125" s="138"/>
      <c r="K125" s="139"/>
      <c r="L125" s="139"/>
      <c r="M125" s="139"/>
      <c r="N125" s="139"/>
      <c r="O125" s="140"/>
      <c r="P125" s="140"/>
      <c r="Q125" s="141"/>
      <c r="R125" s="138"/>
      <c r="S125" s="138"/>
      <c r="T125" s="138"/>
      <c r="U125" s="138"/>
      <c r="V125" s="138"/>
      <c r="W125" s="138"/>
      <c r="X125" s="392"/>
      <c r="Y125" s="392"/>
      <c r="Z125" s="145"/>
    </row>
    <row r="126" spans="1:26" s="143" customFormat="1">
      <c r="A126" s="186"/>
      <c r="B126" s="137"/>
      <c r="C126" s="392"/>
      <c r="D126" s="392"/>
      <c r="E126" s="392"/>
      <c r="F126" s="392"/>
      <c r="G126" s="393"/>
      <c r="H126" s="393"/>
      <c r="I126" s="138"/>
      <c r="J126" s="138"/>
      <c r="K126" s="139"/>
      <c r="L126" s="139"/>
      <c r="M126" s="139"/>
      <c r="N126" s="139"/>
      <c r="O126" s="140"/>
      <c r="P126" s="140"/>
      <c r="Q126" s="141"/>
      <c r="R126" s="138"/>
      <c r="S126" s="138"/>
      <c r="T126" s="138"/>
      <c r="U126" s="138"/>
      <c r="V126" s="138"/>
      <c r="W126" s="138"/>
      <c r="X126" s="392"/>
      <c r="Y126" s="392"/>
      <c r="Z126" s="145"/>
    </row>
    <row r="127" spans="1:26" s="143" customFormat="1">
      <c r="A127" s="186"/>
      <c r="B127" s="137"/>
      <c r="C127" s="392"/>
      <c r="D127" s="392"/>
      <c r="E127" s="392"/>
      <c r="F127" s="392"/>
      <c r="G127" s="393"/>
      <c r="H127" s="393"/>
      <c r="I127" s="138"/>
      <c r="J127" s="138"/>
      <c r="K127" s="139"/>
      <c r="L127" s="139"/>
      <c r="M127" s="139"/>
      <c r="N127" s="139"/>
      <c r="O127" s="140"/>
      <c r="P127" s="140"/>
      <c r="Q127" s="141"/>
      <c r="R127" s="138"/>
      <c r="S127" s="138"/>
      <c r="T127" s="138"/>
      <c r="U127" s="138"/>
      <c r="V127" s="138"/>
      <c r="W127" s="138"/>
      <c r="X127" s="392"/>
      <c r="Y127" s="392"/>
      <c r="Z127" s="145"/>
    </row>
    <row r="128" spans="1:26" s="143" customFormat="1">
      <c r="A128" s="186"/>
      <c r="B128" s="137"/>
      <c r="C128" s="392"/>
      <c r="D128" s="392"/>
      <c r="E128" s="392"/>
      <c r="F128" s="392"/>
      <c r="G128" s="393"/>
      <c r="H128" s="393"/>
      <c r="I128" s="138"/>
      <c r="J128" s="138"/>
      <c r="K128" s="139"/>
      <c r="L128" s="139"/>
      <c r="M128" s="139"/>
      <c r="N128" s="139"/>
      <c r="O128" s="140"/>
      <c r="P128" s="140"/>
      <c r="Q128" s="141"/>
      <c r="R128" s="138"/>
      <c r="S128" s="138"/>
      <c r="T128" s="138"/>
      <c r="U128" s="138"/>
      <c r="V128" s="138"/>
      <c r="W128" s="138"/>
      <c r="X128" s="392"/>
      <c r="Y128" s="392"/>
      <c r="Z128" s="145"/>
    </row>
    <row r="129" spans="1:26" s="143" customFormat="1">
      <c r="A129" s="186"/>
      <c r="B129" s="137"/>
      <c r="C129" s="392"/>
      <c r="D129" s="392"/>
      <c r="E129" s="392"/>
      <c r="F129" s="392"/>
      <c r="G129" s="393"/>
      <c r="H129" s="393"/>
      <c r="I129" s="138"/>
      <c r="J129" s="138"/>
      <c r="K129" s="139"/>
      <c r="L129" s="139"/>
      <c r="M129" s="139"/>
      <c r="N129" s="139"/>
      <c r="O129" s="140"/>
      <c r="P129" s="140"/>
      <c r="Q129" s="141"/>
      <c r="R129" s="138"/>
      <c r="S129" s="138"/>
      <c r="T129" s="138"/>
      <c r="U129" s="138"/>
      <c r="V129" s="138"/>
      <c r="W129" s="138"/>
      <c r="X129" s="392"/>
      <c r="Y129" s="392"/>
      <c r="Z129" s="145"/>
    </row>
    <row r="130" spans="1:26" s="143" customFormat="1">
      <c r="A130" s="186"/>
      <c r="B130" s="137"/>
      <c r="C130" s="392"/>
      <c r="D130" s="392"/>
      <c r="E130" s="392"/>
      <c r="F130" s="392"/>
      <c r="G130" s="393"/>
      <c r="H130" s="393"/>
      <c r="I130" s="138"/>
      <c r="J130" s="138"/>
      <c r="K130" s="139"/>
      <c r="L130" s="139"/>
      <c r="M130" s="139"/>
      <c r="N130" s="139"/>
      <c r="O130" s="140"/>
      <c r="P130" s="140"/>
      <c r="Q130" s="141"/>
      <c r="R130" s="138"/>
      <c r="S130" s="138"/>
      <c r="T130" s="138"/>
      <c r="U130" s="138"/>
      <c r="V130" s="138"/>
      <c r="W130" s="138"/>
      <c r="X130" s="392"/>
      <c r="Y130" s="392"/>
      <c r="Z130" s="145"/>
    </row>
    <row r="131" spans="1:26" s="143" customFormat="1">
      <c r="A131" s="186"/>
      <c r="B131" s="137"/>
      <c r="C131" s="392"/>
      <c r="D131" s="392"/>
      <c r="E131" s="392"/>
      <c r="F131" s="392"/>
      <c r="G131" s="393"/>
      <c r="H131" s="393"/>
      <c r="I131" s="138"/>
      <c r="J131" s="138"/>
      <c r="K131" s="139"/>
      <c r="L131" s="139"/>
      <c r="M131" s="139"/>
      <c r="N131" s="139"/>
      <c r="O131" s="140"/>
      <c r="P131" s="140"/>
      <c r="Q131" s="141"/>
      <c r="R131" s="138"/>
      <c r="S131" s="138"/>
      <c r="T131" s="138"/>
      <c r="U131" s="138"/>
      <c r="V131" s="138"/>
      <c r="W131" s="138"/>
      <c r="X131" s="392"/>
      <c r="Y131" s="392"/>
      <c r="Z131" s="145"/>
    </row>
    <row r="132" spans="1:26" s="143" customFormat="1">
      <c r="A132" s="186"/>
      <c r="B132" s="137"/>
      <c r="C132" s="392"/>
      <c r="D132" s="392"/>
      <c r="E132" s="392"/>
      <c r="F132" s="392"/>
      <c r="G132" s="393"/>
      <c r="H132" s="393"/>
      <c r="I132" s="138"/>
      <c r="J132" s="138"/>
      <c r="K132" s="139"/>
      <c r="L132" s="139"/>
      <c r="M132" s="139"/>
      <c r="N132" s="139"/>
      <c r="O132" s="140"/>
      <c r="P132" s="140"/>
      <c r="Q132" s="141"/>
      <c r="R132" s="138"/>
      <c r="S132" s="138"/>
      <c r="T132" s="138"/>
      <c r="U132" s="138"/>
      <c r="V132" s="138"/>
      <c r="W132" s="138"/>
      <c r="X132" s="392"/>
      <c r="Y132" s="392"/>
      <c r="Z132" s="145"/>
    </row>
    <row r="133" spans="1:26" s="143" customFormat="1">
      <c r="A133" s="186"/>
      <c r="B133" s="137"/>
      <c r="C133" s="392"/>
      <c r="D133" s="392"/>
      <c r="E133" s="392"/>
      <c r="F133" s="392"/>
      <c r="G133" s="393"/>
      <c r="H133" s="393"/>
      <c r="I133" s="138"/>
      <c r="J133" s="138"/>
      <c r="K133" s="139"/>
      <c r="L133" s="139"/>
      <c r="M133" s="139"/>
      <c r="N133" s="139"/>
      <c r="O133" s="140"/>
      <c r="P133" s="140"/>
      <c r="Q133" s="141"/>
      <c r="R133" s="138"/>
      <c r="S133" s="138"/>
      <c r="T133" s="138"/>
      <c r="U133" s="138"/>
      <c r="V133" s="138"/>
      <c r="W133" s="138"/>
      <c r="X133" s="392"/>
      <c r="Y133" s="392"/>
      <c r="Z133" s="145"/>
    </row>
    <row r="134" spans="1:26" s="143" customFormat="1">
      <c r="A134" s="186"/>
      <c r="B134" s="137"/>
      <c r="C134" s="392"/>
      <c r="D134" s="392"/>
      <c r="E134" s="392"/>
      <c r="F134" s="392"/>
      <c r="G134" s="393"/>
      <c r="H134" s="393"/>
      <c r="I134" s="138"/>
      <c r="J134" s="138"/>
      <c r="K134" s="139"/>
      <c r="L134" s="139"/>
      <c r="M134" s="139"/>
      <c r="N134" s="139"/>
      <c r="O134" s="140"/>
      <c r="P134" s="140"/>
      <c r="Q134" s="141"/>
      <c r="R134" s="138"/>
      <c r="S134" s="138"/>
      <c r="T134" s="138"/>
      <c r="U134" s="138"/>
      <c r="V134" s="138"/>
      <c r="W134" s="138"/>
      <c r="X134" s="392"/>
      <c r="Y134" s="392"/>
      <c r="Z134" s="145"/>
    </row>
    <row r="135" spans="1:26" s="143" customFormat="1">
      <c r="A135" s="186"/>
      <c r="B135" s="137"/>
      <c r="C135" s="392"/>
      <c r="D135" s="392"/>
      <c r="E135" s="392"/>
      <c r="F135" s="392"/>
      <c r="G135" s="393"/>
      <c r="H135" s="393"/>
      <c r="I135" s="138"/>
      <c r="J135" s="138"/>
      <c r="K135" s="139"/>
      <c r="L135" s="139"/>
      <c r="M135" s="139"/>
      <c r="N135" s="139"/>
      <c r="O135" s="140"/>
      <c r="P135" s="140"/>
      <c r="Q135" s="141"/>
      <c r="R135" s="138"/>
      <c r="S135" s="138"/>
      <c r="T135" s="138"/>
      <c r="U135" s="138"/>
      <c r="V135" s="138"/>
      <c r="W135" s="138"/>
      <c r="X135" s="392"/>
      <c r="Y135" s="392"/>
      <c r="Z135" s="145"/>
    </row>
    <row r="136" spans="1:26" s="143" customFormat="1">
      <c r="A136" s="186"/>
      <c r="B136" s="137"/>
      <c r="C136" s="392"/>
      <c r="D136" s="392"/>
      <c r="E136" s="392"/>
      <c r="F136" s="392"/>
      <c r="G136" s="393"/>
      <c r="H136" s="393"/>
      <c r="I136" s="138"/>
      <c r="J136" s="138"/>
      <c r="K136" s="139"/>
      <c r="L136" s="139"/>
      <c r="M136" s="139"/>
      <c r="N136" s="139"/>
      <c r="O136" s="140"/>
      <c r="P136" s="140"/>
      <c r="Q136" s="141"/>
      <c r="R136" s="138"/>
      <c r="S136" s="138"/>
      <c r="T136" s="138"/>
      <c r="U136" s="138"/>
      <c r="V136" s="138"/>
      <c r="W136" s="138"/>
      <c r="X136" s="392"/>
      <c r="Y136" s="392"/>
      <c r="Z136" s="145"/>
    </row>
    <row r="137" spans="1:26" s="143" customFormat="1">
      <c r="A137" s="186"/>
      <c r="B137" s="137"/>
      <c r="C137" s="392"/>
      <c r="D137" s="392"/>
      <c r="E137" s="392"/>
      <c r="F137" s="392"/>
      <c r="G137" s="393"/>
      <c r="H137" s="393"/>
      <c r="I137" s="138"/>
      <c r="J137" s="138"/>
      <c r="K137" s="139"/>
      <c r="L137" s="139"/>
      <c r="M137" s="139"/>
      <c r="N137" s="139"/>
      <c r="O137" s="140"/>
      <c r="P137" s="140"/>
      <c r="Q137" s="141"/>
      <c r="R137" s="138"/>
      <c r="S137" s="138"/>
      <c r="T137" s="138"/>
      <c r="U137" s="138"/>
      <c r="V137" s="138"/>
      <c r="W137" s="138"/>
      <c r="X137" s="392"/>
      <c r="Y137" s="392"/>
      <c r="Z137" s="145"/>
    </row>
    <row r="138" spans="1:26" s="143" customFormat="1">
      <c r="A138" s="186"/>
      <c r="B138" s="137"/>
      <c r="C138" s="392"/>
      <c r="D138" s="392"/>
      <c r="E138" s="392"/>
      <c r="F138" s="392"/>
      <c r="G138" s="393"/>
      <c r="H138" s="393"/>
      <c r="I138" s="138"/>
      <c r="J138" s="138"/>
      <c r="K138" s="139"/>
      <c r="L138" s="139"/>
      <c r="M138" s="139"/>
      <c r="N138" s="139"/>
      <c r="O138" s="140"/>
      <c r="P138" s="140"/>
      <c r="Q138" s="141"/>
      <c r="R138" s="138"/>
      <c r="S138" s="138"/>
      <c r="T138" s="138"/>
      <c r="U138" s="138"/>
      <c r="V138" s="138"/>
      <c r="W138" s="138"/>
      <c r="X138" s="392"/>
      <c r="Y138" s="392"/>
      <c r="Z138" s="145"/>
    </row>
    <row r="139" spans="1:26" s="143" customFormat="1">
      <c r="A139" s="186"/>
      <c r="B139" s="137"/>
      <c r="C139" s="392"/>
      <c r="D139" s="392"/>
      <c r="E139" s="392"/>
      <c r="F139" s="392"/>
      <c r="G139" s="393"/>
      <c r="H139" s="393"/>
      <c r="I139" s="138"/>
      <c r="J139" s="138"/>
      <c r="K139" s="139"/>
      <c r="L139" s="139"/>
      <c r="M139" s="139"/>
      <c r="N139" s="139"/>
      <c r="O139" s="140"/>
      <c r="P139" s="140"/>
      <c r="Q139" s="141"/>
      <c r="R139" s="138"/>
      <c r="S139" s="138"/>
      <c r="T139" s="138"/>
      <c r="U139" s="138"/>
      <c r="V139" s="138"/>
      <c r="W139" s="138"/>
      <c r="X139" s="392"/>
      <c r="Y139" s="392"/>
      <c r="Z139" s="145"/>
    </row>
    <row r="140" spans="1:26" s="143" customFormat="1">
      <c r="A140" s="186"/>
      <c r="B140" s="137"/>
      <c r="C140" s="392"/>
      <c r="D140" s="392"/>
      <c r="E140" s="392"/>
      <c r="F140" s="392"/>
      <c r="G140" s="393"/>
      <c r="H140" s="393"/>
      <c r="I140" s="138"/>
      <c r="J140" s="138"/>
      <c r="K140" s="139"/>
      <c r="L140" s="139"/>
      <c r="M140" s="139"/>
      <c r="N140" s="139"/>
      <c r="O140" s="140"/>
      <c r="P140" s="140"/>
      <c r="Q140" s="141"/>
      <c r="R140" s="138"/>
      <c r="S140" s="138"/>
      <c r="T140" s="138"/>
      <c r="U140" s="138"/>
      <c r="V140" s="138"/>
      <c r="W140" s="138"/>
      <c r="X140" s="392"/>
      <c r="Y140" s="392"/>
      <c r="Z140" s="145"/>
    </row>
    <row r="141" spans="1:26" s="143" customFormat="1">
      <c r="A141" s="186"/>
      <c r="B141" s="137"/>
      <c r="C141" s="392"/>
      <c r="D141" s="392"/>
      <c r="E141" s="392"/>
      <c r="F141" s="392"/>
      <c r="G141" s="393"/>
      <c r="H141" s="393"/>
      <c r="I141" s="138"/>
      <c r="J141" s="138"/>
      <c r="K141" s="139"/>
      <c r="L141" s="139"/>
      <c r="M141" s="139"/>
      <c r="N141" s="139"/>
      <c r="O141" s="140"/>
      <c r="P141" s="140"/>
      <c r="Q141" s="141"/>
      <c r="R141" s="138"/>
      <c r="S141" s="138"/>
      <c r="T141" s="138"/>
      <c r="U141" s="138"/>
      <c r="V141" s="138"/>
      <c r="W141" s="138"/>
      <c r="X141" s="392"/>
      <c r="Y141" s="392"/>
      <c r="Z141" s="145"/>
    </row>
    <row r="142" spans="1:26" s="143" customFormat="1">
      <c r="A142" s="186"/>
      <c r="B142" s="137"/>
      <c r="C142" s="392"/>
      <c r="D142" s="392"/>
      <c r="E142" s="392"/>
      <c r="F142" s="392"/>
      <c r="G142" s="393"/>
      <c r="H142" s="393"/>
      <c r="I142" s="138"/>
      <c r="J142" s="138"/>
      <c r="K142" s="139"/>
      <c r="L142" s="139"/>
      <c r="M142" s="139"/>
      <c r="N142" s="139"/>
      <c r="O142" s="140"/>
      <c r="P142" s="140"/>
      <c r="Q142" s="141"/>
      <c r="R142" s="138"/>
      <c r="S142" s="138"/>
      <c r="T142" s="138"/>
      <c r="U142" s="138"/>
      <c r="V142" s="138"/>
      <c r="W142" s="138"/>
      <c r="X142" s="392"/>
      <c r="Y142" s="392"/>
      <c r="Z142" s="145"/>
    </row>
    <row r="143" spans="1:26" s="143" customFormat="1">
      <c r="A143" s="186"/>
      <c r="B143" s="137"/>
      <c r="C143" s="392"/>
      <c r="D143" s="392"/>
      <c r="E143" s="392"/>
      <c r="F143" s="392"/>
      <c r="G143" s="393"/>
      <c r="H143" s="393"/>
      <c r="I143" s="138"/>
      <c r="J143" s="138"/>
      <c r="K143" s="139"/>
      <c r="L143" s="139"/>
      <c r="M143" s="139"/>
      <c r="N143" s="139"/>
      <c r="O143" s="140"/>
      <c r="P143" s="140"/>
      <c r="Q143" s="141"/>
      <c r="R143" s="138"/>
      <c r="S143" s="138"/>
      <c r="T143" s="138"/>
      <c r="U143" s="138"/>
      <c r="V143" s="138"/>
      <c r="W143" s="138"/>
      <c r="X143" s="392"/>
      <c r="Y143" s="392"/>
      <c r="Z143" s="145"/>
    </row>
    <row r="144" spans="1:26" s="143" customFormat="1">
      <c r="A144" s="186"/>
      <c r="B144" s="137"/>
      <c r="C144" s="392"/>
      <c r="D144" s="392"/>
      <c r="E144" s="392"/>
      <c r="F144" s="392"/>
      <c r="G144" s="393"/>
      <c r="H144" s="393"/>
      <c r="I144" s="138"/>
      <c r="J144" s="138"/>
      <c r="K144" s="139"/>
      <c r="L144" s="139"/>
      <c r="M144" s="139"/>
      <c r="N144" s="139"/>
      <c r="O144" s="140"/>
      <c r="P144" s="140"/>
      <c r="Q144" s="141"/>
      <c r="R144" s="138"/>
      <c r="S144" s="138"/>
      <c r="T144" s="138"/>
      <c r="U144" s="138"/>
      <c r="V144" s="138"/>
      <c r="W144" s="138"/>
      <c r="X144" s="392"/>
      <c r="Y144" s="392"/>
      <c r="Z144" s="145"/>
    </row>
    <row r="145" spans="1:26" s="143" customFormat="1">
      <c r="A145" s="186"/>
      <c r="B145" s="137"/>
      <c r="C145" s="392"/>
      <c r="D145" s="392"/>
      <c r="E145" s="392"/>
      <c r="F145" s="392"/>
      <c r="G145" s="393"/>
      <c r="H145" s="393"/>
      <c r="I145" s="138"/>
      <c r="J145" s="138"/>
      <c r="K145" s="139"/>
      <c r="L145" s="139"/>
      <c r="M145" s="139"/>
      <c r="N145" s="139"/>
      <c r="O145" s="140"/>
      <c r="P145" s="140"/>
      <c r="Q145" s="141"/>
      <c r="R145" s="138"/>
      <c r="S145" s="138"/>
      <c r="T145" s="138"/>
      <c r="U145" s="138"/>
      <c r="V145" s="138"/>
      <c r="W145" s="138"/>
      <c r="X145" s="392"/>
      <c r="Y145" s="392"/>
      <c r="Z145" s="145"/>
    </row>
    <row r="146" spans="1:26" s="143" customFormat="1">
      <c r="A146" s="186"/>
      <c r="B146" s="137"/>
      <c r="C146" s="392"/>
      <c r="D146" s="392"/>
      <c r="E146" s="392"/>
      <c r="F146" s="392"/>
      <c r="G146" s="393"/>
      <c r="H146" s="393"/>
      <c r="I146" s="138"/>
      <c r="J146" s="138"/>
      <c r="K146" s="139"/>
      <c r="L146" s="139"/>
      <c r="M146" s="139"/>
      <c r="N146" s="139"/>
      <c r="O146" s="140"/>
      <c r="P146" s="140"/>
      <c r="Q146" s="141"/>
      <c r="R146" s="138"/>
      <c r="S146" s="138"/>
      <c r="T146" s="138"/>
      <c r="U146" s="138"/>
      <c r="V146" s="138"/>
      <c r="W146" s="138"/>
      <c r="X146" s="392"/>
      <c r="Y146" s="392"/>
      <c r="Z146" s="145"/>
    </row>
    <row r="147" spans="1:26" s="143" customFormat="1">
      <c r="A147" s="186"/>
      <c r="B147" s="137"/>
      <c r="C147" s="392"/>
      <c r="D147" s="392"/>
      <c r="E147" s="392"/>
      <c r="F147" s="392"/>
      <c r="G147" s="393"/>
      <c r="H147" s="393"/>
      <c r="I147" s="138"/>
      <c r="J147" s="138"/>
      <c r="K147" s="139"/>
      <c r="L147" s="139"/>
      <c r="M147" s="139"/>
      <c r="N147" s="139"/>
      <c r="O147" s="140"/>
      <c r="P147" s="140"/>
      <c r="Q147" s="141"/>
      <c r="R147" s="138"/>
      <c r="S147" s="138"/>
      <c r="T147" s="138"/>
      <c r="U147" s="138"/>
      <c r="V147" s="138"/>
      <c r="W147" s="138"/>
      <c r="X147" s="392"/>
      <c r="Y147" s="392"/>
      <c r="Z147" s="145"/>
    </row>
    <row r="148" spans="1:26" s="143" customFormat="1">
      <c r="A148" s="186"/>
      <c r="B148" s="137"/>
      <c r="C148" s="392"/>
      <c r="D148" s="392"/>
      <c r="E148" s="392"/>
      <c r="F148" s="392"/>
      <c r="G148" s="393"/>
      <c r="H148" s="393"/>
      <c r="I148" s="138"/>
      <c r="J148" s="138"/>
      <c r="K148" s="139"/>
      <c r="L148" s="139"/>
      <c r="M148" s="139"/>
      <c r="N148" s="139"/>
      <c r="O148" s="140"/>
      <c r="P148" s="140"/>
      <c r="Q148" s="141"/>
      <c r="R148" s="138"/>
      <c r="S148" s="138"/>
      <c r="T148" s="138"/>
      <c r="U148" s="138"/>
      <c r="V148" s="138"/>
      <c r="W148" s="138"/>
      <c r="X148" s="392"/>
      <c r="Y148" s="392"/>
      <c r="Z148" s="145"/>
    </row>
    <row r="149" spans="1:26" s="143" customFormat="1">
      <c r="A149" s="186"/>
      <c r="B149" s="137"/>
      <c r="C149" s="392"/>
      <c r="D149" s="392"/>
      <c r="E149" s="392"/>
      <c r="F149" s="392"/>
      <c r="G149" s="393"/>
      <c r="H149" s="393"/>
      <c r="I149" s="138"/>
      <c r="J149" s="138"/>
      <c r="K149" s="139"/>
      <c r="L149" s="139"/>
      <c r="M149" s="139"/>
      <c r="N149" s="139"/>
      <c r="O149" s="140"/>
      <c r="P149" s="140"/>
      <c r="Q149" s="141"/>
      <c r="R149" s="138"/>
      <c r="S149" s="138"/>
      <c r="T149" s="138"/>
      <c r="U149" s="138"/>
      <c r="V149" s="138"/>
      <c r="W149" s="138"/>
      <c r="X149" s="392"/>
      <c r="Y149" s="392"/>
      <c r="Z149" s="145"/>
    </row>
    <row r="150" spans="1:26" s="143" customFormat="1">
      <c r="A150" s="186"/>
      <c r="B150" s="137"/>
      <c r="C150" s="392"/>
      <c r="D150" s="392"/>
      <c r="E150" s="392"/>
      <c r="F150" s="392"/>
      <c r="G150" s="393"/>
      <c r="H150" s="393"/>
      <c r="I150" s="138"/>
      <c r="J150" s="138"/>
      <c r="K150" s="139"/>
      <c r="L150" s="139"/>
      <c r="M150" s="139"/>
      <c r="N150" s="139"/>
      <c r="O150" s="140"/>
      <c r="P150" s="140"/>
      <c r="Q150" s="141"/>
      <c r="R150" s="138"/>
      <c r="S150" s="138"/>
      <c r="T150" s="138"/>
      <c r="U150" s="138"/>
      <c r="V150" s="138"/>
      <c r="W150" s="138"/>
      <c r="X150" s="392"/>
      <c r="Y150" s="392"/>
      <c r="Z150" s="145"/>
    </row>
    <row r="151" spans="1:26" s="143" customFormat="1">
      <c r="A151" s="186"/>
      <c r="B151" s="137"/>
      <c r="C151" s="392"/>
      <c r="D151" s="392"/>
      <c r="E151" s="392"/>
      <c r="F151" s="392"/>
      <c r="G151" s="393"/>
      <c r="H151" s="393"/>
      <c r="I151" s="138"/>
      <c r="J151" s="138"/>
      <c r="K151" s="139"/>
      <c r="L151" s="139"/>
      <c r="M151" s="139"/>
      <c r="N151" s="139"/>
      <c r="O151" s="140"/>
      <c r="P151" s="140"/>
      <c r="Q151" s="141"/>
      <c r="R151" s="138"/>
      <c r="S151" s="138"/>
      <c r="T151" s="138"/>
      <c r="U151" s="138"/>
      <c r="V151" s="138"/>
      <c r="W151" s="138"/>
      <c r="X151" s="392"/>
      <c r="Y151" s="392"/>
      <c r="Z151" s="145"/>
    </row>
    <row r="152" spans="1:26" s="143" customFormat="1">
      <c r="A152" s="186"/>
      <c r="B152" s="137"/>
      <c r="C152" s="392"/>
      <c r="D152" s="392"/>
      <c r="E152" s="392"/>
      <c r="F152" s="392"/>
      <c r="G152" s="393"/>
      <c r="H152" s="393"/>
      <c r="I152" s="138"/>
      <c r="J152" s="138"/>
      <c r="K152" s="139"/>
      <c r="L152" s="139"/>
      <c r="M152" s="139"/>
      <c r="N152" s="139"/>
      <c r="O152" s="140"/>
      <c r="P152" s="140"/>
      <c r="Q152" s="141"/>
      <c r="R152" s="138"/>
      <c r="S152" s="138"/>
      <c r="T152" s="138"/>
      <c r="U152" s="138"/>
      <c r="V152" s="138"/>
      <c r="W152" s="138"/>
      <c r="X152" s="392"/>
      <c r="Y152" s="392"/>
      <c r="Z152" s="145"/>
    </row>
    <row r="153" spans="1:26" s="143" customFormat="1">
      <c r="A153" s="186"/>
      <c r="B153" s="137"/>
      <c r="C153" s="392"/>
      <c r="D153" s="392"/>
      <c r="E153" s="392"/>
      <c r="F153" s="392"/>
      <c r="G153" s="393"/>
      <c r="H153" s="393"/>
      <c r="I153" s="138"/>
      <c r="J153" s="138"/>
      <c r="K153" s="139"/>
      <c r="L153" s="139"/>
      <c r="M153" s="139"/>
      <c r="N153" s="139"/>
      <c r="O153" s="140"/>
      <c r="P153" s="140"/>
      <c r="Q153" s="141"/>
      <c r="R153" s="138"/>
      <c r="S153" s="138"/>
      <c r="T153" s="138"/>
      <c r="U153" s="138"/>
      <c r="V153" s="138"/>
      <c r="W153" s="138"/>
      <c r="X153" s="392"/>
      <c r="Y153" s="392"/>
      <c r="Z153" s="145"/>
    </row>
    <row r="154" spans="1:26" s="143" customFormat="1">
      <c r="A154" s="186"/>
      <c r="B154" s="137"/>
      <c r="C154" s="392"/>
      <c r="D154" s="392"/>
      <c r="E154" s="392"/>
      <c r="F154" s="392"/>
      <c r="G154" s="393"/>
      <c r="H154" s="393"/>
      <c r="I154" s="138"/>
      <c r="J154" s="138"/>
      <c r="K154" s="139"/>
      <c r="L154" s="139"/>
      <c r="M154" s="139"/>
      <c r="N154" s="139"/>
      <c r="O154" s="140"/>
      <c r="P154" s="140"/>
      <c r="Q154" s="141"/>
      <c r="R154" s="138"/>
      <c r="S154" s="138"/>
      <c r="T154" s="138"/>
      <c r="U154" s="138"/>
      <c r="V154" s="138"/>
      <c r="W154" s="138"/>
      <c r="X154" s="392"/>
      <c r="Y154" s="392"/>
      <c r="Z154" s="145"/>
    </row>
    <row r="155" spans="1:26" s="143" customFormat="1">
      <c r="A155" s="186"/>
      <c r="B155" s="137"/>
      <c r="C155" s="392"/>
      <c r="D155" s="392"/>
      <c r="E155" s="392"/>
      <c r="F155" s="392"/>
      <c r="G155" s="393"/>
      <c r="H155" s="393"/>
      <c r="I155" s="138"/>
      <c r="J155" s="138"/>
      <c r="K155" s="139"/>
      <c r="L155" s="139"/>
      <c r="M155" s="139"/>
      <c r="N155" s="139"/>
      <c r="O155" s="140"/>
      <c r="P155" s="140"/>
      <c r="Q155" s="141"/>
      <c r="R155" s="138"/>
      <c r="S155" s="138"/>
      <c r="T155" s="138"/>
      <c r="U155" s="138"/>
      <c r="V155" s="138"/>
      <c r="W155" s="138"/>
      <c r="X155" s="392"/>
      <c r="Y155" s="392"/>
      <c r="Z155" s="145"/>
    </row>
    <row r="156" spans="1:26" s="143" customFormat="1">
      <c r="A156" s="186"/>
      <c r="B156" s="137"/>
      <c r="C156" s="392"/>
      <c r="D156" s="392"/>
      <c r="E156" s="392"/>
      <c r="F156" s="392"/>
      <c r="G156" s="393"/>
      <c r="H156" s="393"/>
      <c r="I156" s="138"/>
      <c r="J156" s="138"/>
      <c r="K156" s="139"/>
      <c r="L156" s="139"/>
      <c r="M156" s="139"/>
      <c r="N156" s="139"/>
      <c r="O156" s="140"/>
      <c r="P156" s="140"/>
      <c r="Q156" s="141"/>
      <c r="R156" s="138"/>
      <c r="S156" s="138"/>
      <c r="T156" s="138"/>
      <c r="U156" s="138"/>
      <c r="V156" s="138"/>
      <c r="W156" s="138"/>
      <c r="X156" s="392"/>
      <c r="Y156" s="392"/>
      <c r="Z156" s="145"/>
    </row>
    <row r="157" spans="1:26" s="143" customFormat="1">
      <c r="A157" s="186"/>
      <c r="B157" s="137"/>
      <c r="C157" s="392"/>
      <c r="D157" s="392"/>
      <c r="E157" s="392"/>
      <c r="F157" s="392"/>
      <c r="G157" s="393"/>
      <c r="H157" s="393"/>
      <c r="I157" s="138"/>
      <c r="J157" s="138"/>
      <c r="K157" s="139"/>
      <c r="L157" s="139"/>
      <c r="M157" s="139"/>
      <c r="N157" s="139"/>
      <c r="O157" s="140"/>
      <c r="P157" s="140"/>
      <c r="Q157" s="141"/>
      <c r="R157" s="138"/>
      <c r="S157" s="138"/>
      <c r="T157" s="138"/>
      <c r="U157" s="138"/>
      <c r="V157" s="138"/>
      <c r="W157" s="138"/>
      <c r="X157" s="392"/>
      <c r="Y157" s="392"/>
      <c r="Z157" s="145"/>
    </row>
    <row r="158" spans="1:26" s="143" customFormat="1">
      <c r="A158" s="186"/>
      <c r="B158" s="137"/>
      <c r="C158" s="392"/>
      <c r="D158" s="392"/>
      <c r="E158" s="392"/>
      <c r="F158" s="392"/>
      <c r="G158" s="393"/>
      <c r="H158" s="393"/>
      <c r="I158" s="138"/>
      <c r="J158" s="138"/>
      <c r="K158" s="139"/>
      <c r="L158" s="139"/>
      <c r="M158" s="139"/>
      <c r="N158" s="139"/>
      <c r="O158" s="140"/>
      <c r="P158" s="140"/>
      <c r="Q158" s="141"/>
      <c r="R158" s="138"/>
      <c r="S158" s="138"/>
      <c r="T158" s="138"/>
      <c r="U158" s="138"/>
      <c r="V158" s="138"/>
      <c r="W158" s="138"/>
      <c r="X158" s="392"/>
      <c r="Y158" s="392"/>
      <c r="Z158" s="145"/>
    </row>
    <row r="159" spans="1:26" s="143" customFormat="1">
      <c r="A159" s="186"/>
      <c r="B159" s="137"/>
      <c r="C159" s="392"/>
      <c r="D159" s="392"/>
      <c r="E159" s="392"/>
      <c r="F159" s="392"/>
      <c r="G159" s="393"/>
      <c r="H159" s="393"/>
      <c r="I159" s="138"/>
      <c r="J159" s="138"/>
      <c r="K159" s="139"/>
      <c r="L159" s="139"/>
      <c r="M159" s="139"/>
      <c r="N159" s="139"/>
      <c r="O159" s="140"/>
      <c r="P159" s="140"/>
      <c r="Q159" s="141"/>
      <c r="R159" s="138"/>
      <c r="S159" s="138"/>
      <c r="T159" s="138"/>
      <c r="U159" s="138"/>
      <c r="V159" s="138"/>
      <c r="W159" s="138"/>
      <c r="X159" s="392"/>
      <c r="Y159" s="392"/>
      <c r="Z159" s="145"/>
    </row>
    <row r="160" spans="1:26" s="143" customFormat="1">
      <c r="A160" s="186"/>
      <c r="B160" s="137"/>
      <c r="C160" s="392"/>
      <c r="D160" s="392"/>
      <c r="E160" s="392"/>
      <c r="F160" s="392"/>
      <c r="G160" s="393"/>
      <c r="H160" s="393"/>
      <c r="I160" s="138"/>
      <c r="J160" s="138"/>
      <c r="K160" s="139"/>
      <c r="L160" s="139"/>
      <c r="M160" s="139"/>
      <c r="N160" s="139"/>
      <c r="O160" s="140"/>
      <c r="P160" s="140"/>
      <c r="Q160" s="141"/>
      <c r="R160" s="138"/>
      <c r="S160" s="138"/>
      <c r="T160" s="138"/>
      <c r="U160" s="138"/>
      <c r="V160" s="138"/>
      <c r="W160" s="138"/>
      <c r="X160" s="392"/>
      <c r="Y160" s="392"/>
      <c r="Z160" s="145"/>
    </row>
    <row r="161" spans="1:26" s="143" customFormat="1">
      <c r="A161" s="186"/>
      <c r="B161" s="137"/>
      <c r="C161" s="392"/>
      <c r="D161" s="392"/>
      <c r="E161" s="392"/>
      <c r="F161" s="392"/>
      <c r="G161" s="393"/>
      <c r="H161" s="393"/>
      <c r="I161" s="138"/>
      <c r="J161" s="138"/>
      <c r="K161" s="139"/>
      <c r="L161" s="139"/>
      <c r="M161" s="139"/>
      <c r="N161" s="139"/>
      <c r="O161" s="140"/>
      <c r="P161" s="140"/>
      <c r="Q161" s="141"/>
      <c r="R161" s="138"/>
      <c r="S161" s="138"/>
      <c r="T161" s="138"/>
      <c r="U161" s="138"/>
      <c r="V161" s="138"/>
      <c r="W161" s="138"/>
      <c r="X161" s="392"/>
      <c r="Y161" s="392"/>
      <c r="Z161" s="145"/>
    </row>
    <row r="162" spans="1:26" s="143" customFormat="1">
      <c r="A162" s="186"/>
      <c r="B162" s="137"/>
      <c r="C162" s="392"/>
      <c r="D162" s="392"/>
      <c r="E162" s="392"/>
      <c r="F162" s="392"/>
      <c r="G162" s="393"/>
      <c r="H162" s="393"/>
      <c r="I162" s="138"/>
      <c r="J162" s="138"/>
      <c r="K162" s="139"/>
      <c r="L162" s="139"/>
      <c r="M162" s="139"/>
      <c r="N162" s="139"/>
      <c r="O162" s="140"/>
      <c r="P162" s="140"/>
      <c r="Q162" s="141"/>
      <c r="R162" s="138"/>
      <c r="S162" s="138"/>
      <c r="T162" s="138"/>
      <c r="U162" s="138"/>
      <c r="V162" s="138"/>
      <c r="W162" s="138"/>
      <c r="X162" s="392"/>
      <c r="Y162" s="392"/>
      <c r="Z162" s="145"/>
    </row>
    <row r="163" spans="1:26" s="143" customFormat="1">
      <c r="A163" s="186"/>
      <c r="B163" s="137"/>
      <c r="C163" s="392"/>
      <c r="D163" s="392"/>
      <c r="E163" s="392"/>
      <c r="F163" s="392"/>
      <c r="G163" s="393"/>
      <c r="H163" s="393"/>
      <c r="I163" s="138"/>
      <c r="J163" s="138"/>
      <c r="K163" s="139"/>
      <c r="L163" s="139"/>
      <c r="M163" s="139"/>
      <c r="N163" s="139"/>
      <c r="O163" s="140"/>
      <c r="P163" s="140"/>
      <c r="Q163" s="141"/>
      <c r="R163" s="138"/>
      <c r="S163" s="138"/>
      <c r="T163" s="138"/>
      <c r="U163" s="138"/>
      <c r="V163" s="138"/>
      <c r="W163" s="138"/>
      <c r="X163" s="392"/>
      <c r="Y163" s="392"/>
      <c r="Z163" s="145"/>
    </row>
    <row r="164" spans="1:26" s="143" customFormat="1">
      <c r="A164" s="186"/>
      <c r="B164" s="137"/>
      <c r="C164" s="392"/>
      <c r="D164" s="392"/>
      <c r="E164" s="392"/>
      <c r="F164" s="392"/>
      <c r="G164" s="393"/>
      <c r="H164" s="393"/>
      <c r="I164" s="138"/>
      <c r="J164" s="138"/>
      <c r="K164" s="139"/>
      <c r="L164" s="139"/>
      <c r="M164" s="139"/>
      <c r="N164" s="139"/>
      <c r="O164" s="140"/>
      <c r="P164" s="140"/>
      <c r="Q164" s="141"/>
      <c r="R164" s="138"/>
      <c r="S164" s="138"/>
      <c r="T164" s="138"/>
      <c r="U164" s="138"/>
      <c r="V164" s="138"/>
      <c r="W164" s="138"/>
      <c r="X164" s="392"/>
      <c r="Y164" s="392"/>
      <c r="Z164" s="145"/>
    </row>
    <row r="165" spans="1:26" s="143" customFormat="1">
      <c r="A165" s="186"/>
      <c r="B165" s="137"/>
      <c r="C165" s="392"/>
      <c r="D165" s="392"/>
      <c r="E165" s="392"/>
      <c r="F165" s="392"/>
      <c r="G165" s="393"/>
      <c r="H165" s="393"/>
      <c r="I165" s="138"/>
      <c r="J165" s="138"/>
      <c r="K165" s="139"/>
      <c r="L165" s="139"/>
      <c r="M165" s="139"/>
      <c r="N165" s="139"/>
      <c r="O165" s="140"/>
      <c r="P165" s="140"/>
      <c r="Q165" s="141"/>
      <c r="R165" s="138"/>
      <c r="S165" s="138"/>
      <c r="T165" s="138"/>
      <c r="U165" s="138"/>
      <c r="V165" s="138"/>
      <c r="W165" s="138"/>
      <c r="X165" s="392"/>
      <c r="Y165" s="392"/>
      <c r="Z165" s="145"/>
    </row>
    <row r="166" spans="1:26" s="143" customFormat="1">
      <c r="A166" s="186"/>
      <c r="B166" s="137"/>
      <c r="C166" s="392"/>
      <c r="D166" s="392"/>
      <c r="E166" s="392"/>
      <c r="F166" s="392"/>
      <c r="G166" s="393"/>
      <c r="H166" s="393"/>
      <c r="I166" s="138"/>
      <c r="J166" s="138"/>
      <c r="K166" s="139"/>
      <c r="L166" s="139"/>
      <c r="M166" s="139"/>
      <c r="N166" s="139"/>
      <c r="O166" s="140"/>
      <c r="P166" s="140"/>
      <c r="Q166" s="141"/>
      <c r="R166" s="138"/>
      <c r="S166" s="138"/>
      <c r="T166" s="138"/>
      <c r="U166" s="138"/>
      <c r="V166" s="138"/>
      <c r="W166" s="138"/>
      <c r="X166" s="392"/>
      <c r="Y166" s="392"/>
      <c r="Z166" s="145"/>
    </row>
    <row r="167" spans="1:26" s="143" customFormat="1">
      <c r="A167" s="186"/>
      <c r="B167" s="137"/>
      <c r="C167" s="392"/>
      <c r="D167" s="392"/>
      <c r="E167" s="392"/>
      <c r="F167" s="392"/>
      <c r="G167" s="393"/>
      <c r="H167" s="393"/>
      <c r="I167" s="138"/>
      <c r="J167" s="138"/>
      <c r="K167" s="139"/>
      <c r="L167" s="139"/>
      <c r="M167" s="139"/>
      <c r="N167" s="139"/>
      <c r="O167" s="140"/>
      <c r="P167" s="140"/>
      <c r="Q167" s="141"/>
      <c r="R167" s="138"/>
      <c r="S167" s="138"/>
      <c r="T167" s="138"/>
      <c r="U167" s="138"/>
      <c r="V167" s="138"/>
      <c r="W167" s="138"/>
      <c r="X167" s="392"/>
      <c r="Y167" s="392"/>
      <c r="Z167" s="145"/>
    </row>
    <row r="168" spans="1:26" s="143" customFormat="1">
      <c r="A168" s="186"/>
      <c r="B168" s="137"/>
      <c r="C168" s="392"/>
      <c r="D168" s="392"/>
      <c r="E168" s="392"/>
      <c r="F168" s="392"/>
      <c r="G168" s="393"/>
      <c r="H168" s="393"/>
      <c r="I168" s="138"/>
      <c r="J168" s="138"/>
      <c r="K168" s="139"/>
      <c r="L168" s="139"/>
      <c r="M168" s="139"/>
      <c r="N168" s="139"/>
      <c r="O168" s="140"/>
      <c r="P168" s="140"/>
      <c r="Q168" s="141"/>
      <c r="R168" s="138"/>
      <c r="S168" s="138"/>
      <c r="T168" s="138"/>
      <c r="U168" s="138"/>
      <c r="V168" s="138"/>
      <c r="W168" s="138"/>
      <c r="X168" s="392"/>
      <c r="Y168" s="392"/>
      <c r="Z168" s="145"/>
    </row>
    <row r="169" spans="1:26" s="143" customFormat="1">
      <c r="A169" s="186"/>
      <c r="B169" s="137"/>
      <c r="C169" s="392"/>
      <c r="D169" s="392"/>
      <c r="E169" s="392"/>
      <c r="F169" s="392"/>
      <c r="G169" s="393"/>
      <c r="H169" s="393"/>
      <c r="I169" s="138"/>
      <c r="J169" s="138"/>
      <c r="K169" s="139"/>
      <c r="L169" s="139"/>
      <c r="M169" s="139"/>
      <c r="N169" s="139"/>
      <c r="O169" s="140"/>
      <c r="P169" s="140"/>
      <c r="Q169" s="141"/>
      <c r="R169" s="138"/>
      <c r="S169" s="138"/>
      <c r="T169" s="138"/>
      <c r="U169" s="138"/>
      <c r="V169" s="138"/>
      <c r="W169" s="138"/>
      <c r="X169" s="392"/>
      <c r="Y169" s="392"/>
      <c r="Z169" s="145"/>
    </row>
    <row r="170" spans="1:26" s="143" customFormat="1">
      <c r="A170" s="186"/>
      <c r="B170" s="137"/>
      <c r="C170" s="392"/>
      <c r="D170" s="392"/>
      <c r="E170" s="392"/>
      <c r="F170" s="392"/>
      <c r="G170" s="393"/>
      <c r="H170" s="393"/>
      <c r="I170" s="138"/>
      <c r="J170" s="138"/>
      <c r="K170" s="139"/>
      <c r="L170" s="139"/>
      <c r="M170" s="139"/>
      <c r="N170" s="139"/>
      <c r="O170" s="140"/>
      <c r="P170" s="140"/>
      <c r="Q170" s="141"/>
      <c r="R170" s="138"/>
      <c r="S170" s="138"/>
      <c r="T170" s="138"/>
      <c r="U170" s="138"/>
      <c r="V170" s="138"/>
      <c r="W170" s="138"/>
      <c r="X170" s="392"/>
      <c r="Y170" s="392"/>
      <c r="Z170" s="145"/>
    </row>
    <row r="171" spans="1:26" s="143" customFormat="1">
      <c r="A171" s="186"/>
      <c r="B171" s="137"/>
      <c r="C171" s="392"/>
      <c r="D171" s="392"/>
      <c r="E171" s="392"/>
      <c r="F171" s="392"/>
      <c r="G171" s="393"/>
      <c r="H171" s="393"/>
      <c r="I171" s="138"/>
      <c r="J171" s="138"/>
      <c r="K171" s="139"/>
      <c r="L171" s="139"/>
      <c r="M171" s="139"/>
      <c r="N171" s="139"/>
      <c r="O171" s="140"/>
      <c r="P171" s="140"/>
      <c r="Q171" s="141"/>
      <c r="R171" s="138"/>
      <c r="S171" s="138"/>
      <c r="T171" s="138"/>
      <c r="U171" s="138"/>
      <c r="V171" s="138"/>
      <c r="W171" s="138"/>
      <c r="X171" s="392"/>
      <c r="Y171" s="392"/>
      <c r="Z171" s="145"/>
    </row>
    <row r="172" spans="1:26" s="143" customFormat="1">
      <c r="A172" s="186"/>
      <c r="B172" s="137"/>
      <c r="C172" s="392"/>
      <c r="D172" s="392"/>
      <c r="E172" s="392"/>
      <c r="F172" s="392"/>
      <c r="G172" s="393"/>
      <c r="H172" s="393"/>
      <c r="I172" s="138"/>
      <c r="J172" s="138"/>
      <c r="K172" s="139"/>
      <c r="L172" s="139"/>
      <c r="M172" s="139"/>
      <c r="N172" s="139"/>
      <c r="O172" s="140"/>
      <c r="P172" s="140"/>
      <c r="Q172" s="141"/>
      <c r="R172" s="138"/>
      <c r="S172" s="138"/>
      <c r="T172" s="138"/>
      <c r="U172" s="138"/>
      <c r="V172" s="138"/>
      <c r="W172" s="138"/>
      <c r="X172" s="392"/>
      <c r="Y172" s="392"/>
      <c r="Z172" s="145"/>
    </row>
    <row r="173" spans="1:26" s="143" customFormat="1">
      <c r="A173" s="186"/>
      <c r="B173" s="137"/>
      <c r="C173" s="392"/>
      <c r="D173" s="392"/>
      <c r="E173" s="392"/>
      <c r="F173" s="392"/>
      <c r="G173" s="393"/>
      <c r="H173" s="393"/>
      <c r="I173" s="138"/>
      <c r="J173" s="138"/>
      <c r="K173" s="139"/>
      <c r="L173" s="139"/>
      <c r="M173" s="139"/>
      <c r="N173" s="139"/>
      <c r="O173" s="140"/>
      <c r="P173" s="140"/>
      <c r="Q173" s="141"/>
      <c r="R173" s="138"/>
      <c r="S173" s="138"/>
      <c r="T173" s="138"/>
      <c r="U173" s="138"/>
      <c r="V173" s="138"/>
      <c r="W173" s="138"/>
      <c r="X173" s="392"/>
      <c r="Y173" s="392"/>
      <c r="Z173" s="145"/>
    </row>
    <row r="174" spans="1:26" s="143" customFormat="1">
      <c r="A174" s="186"/>
      <c r="B174" s="137"/>
      <c r="C174" s="392"/>
      <c r="D174" s="392"/>
      <c r="E174" s="392"/>
      <c r="F174" s="392"/>
      <c r="G174" s="393"/>
      <c r="H174" s="393"/>
      <c r="I174" s="138"/>
      <c r="J174" s="138"/>
      <c r="K174" s="139"/>
      <c r="L174" s="139"/>
      <c r="M174" s="139"/>
      <c r="N174" s="139"/>
      <c r="O174" s="140"/>
      <c r="P174" s="140"/>
      <c r="Q174" s="141"/>
      <c r="R174" s="138"/>
      <c r="S174" s="138"/>
      <c r="T174" s="138"/>
      <c r="U174" s="138"/>
      <c r="V174" s="138"/>
      <c r="W174" s="138"/>
      <c r="X174" s="392"/>
      <c r="Y174" s="392"/>
      <c r="Z174" s="145"/>
    </row>
    <row r="175" spans="1:26" s="143" customFormat="1">
      <c r="A175" s="186"/>
      <c r="B175" s="137"/>
      <c r="C175" s="392"/>
      <c r="D175" s="392"/>
      <c r="E175" s="392"/>
      <c r="F175" s="392"/>
      <c r="G175" s="393"/>
      <c r="H175" s="393"/>
      <c r="I175" s="138"/>
      <c r="J175" s="138"/>
      <c r="K175" s="139"/>
      <c r="L175" s="139"/>
      <c r="M175" s="139"/>
      <c r="N175" s="139"/>
      <c r="O175" s="140"/>
      <c r="P175" s="140"/>
      <c r="Q175" s="141"/>
      <c r="R175" s="138"/>
      <c r="S175" s="138"/>
      <c r="T175" s="138"/>
      <c r="U175" s="138"/>
      <c r="V175" s="138"/>
      <c r="W175" s="138"/>
      <c r="X175" s="392"/>
      <c r="Y175" s="392"/>
      <c r="Z175" s="145"/>
    </row>
    <row r="176" spans="1:26" s="143" customFormat="1">
      <c r="A176" s="186"/>
      <c r="B176" s="137"/>
      <c r="C176" s="392"/>
      <c r="D176" s="392"/>
      <c r="E176" s="392"/>
      <c r="F176" s="392"/>
      <c r="G176" s="393"/>
      <c r="H176" s="393"/>
      <c r="I176" s="138"/>
      <c r="J176" s="138"/>
      <c r="K176" s="139"/>
      <c r="L176" s="139"/>
      <c r="M176" s="139"/>
      <c r="N176" s="139"/>
      <c r="O176" s="140"/>
      <c r="P176" s="140"/>
      <c r="Q176" s="141"/>
      <c r="R176" s="138"/>
      <c r="S176" s="138"/>
      <c r="T176" s="138"/>
      <c r="U176" s="138"/>
      <c r="V176" s="138"/>
      <c r="W176" s="138"/>
      <c r="X176" s="392"/>
      <c r="Y176" s="392"/>
      <c r="Z176" s="145"/>
    </row>
    <row r="177" spans="1:26" s="143" customFormat="1">
      <c r="A177" s="186"/>
      <c r="B177" s="137"/>
      <c r="C177" s="392"/>
      <c r="D177" s="392"/>
      <c r="E177" s="392"/>
      <c r="F177" s="392"/>
      <c r="G177" s="393"/>
      <c r="H177" s="393"/>
      <c r="I177" s="138"/>
      <c r="J177" s="138"/>
      <c r="K177" s="139"/>
      <c r="L177" s="139"/>
      <c r="M177" s="139"/>
      <c r="N177" s="139"/>
      <c r="O177" s="140"/>
      <c r="P177" s="140"/>
      <c r="Q177" s="141"/>
      <c r="R177" s="138"/>
      <c r="S177" s="138"/>
      <c r="T177" s="138"/>
      <c r="U177" s="138"/>
      <c r="V177" s="138"/>
      <c r="W177" s="138"/>
      <c r="X177" s="392"/>
      <c r="Y177" s="392"/>
      <c r="Z177" s="145"/>
    </row>
    <row r="178" spans="1:26" s="143" customFormat="1">
      <c r="A178" s="186"/>
      <c r="B178" s="137"/>
      <c r="C178" s="392"/>
      <c r="D178" s="392"/>
      <c r="E178" s="392"/>
      <c r="F178" s="392"/>
      <c r="G178" s="393"/>
      <c r="H178" s="393"/>
      <c r="I178" s="138"/>
      <c r="J178" s="138"/>
      <c r="K178" s="139"/>
      <c r="L178" s="139"/>
      <c r="M178" s="139"/>
      <c r="N178" s="139"/>
      <c r="O178" s="140"/>
      <c r="P178" s="140"/>
      <c r="Q178" s="141"/>
      <c r="R178" s="138"/>
      <c r="S178" s="138"/>
      <c r="T178" s="138"/>
      <c r="U178" s="138"/>
      <c r="V178" s="138"/>
      <c r="W178" s="138"/>
      <c r="X178" s="392"/>
      <c r="Y178" s="392"/>
      <c r="Z178" s="145"/>
    </row>
    <row r="179" spans="1:26" s="143" customFormat="1">
      <c r="A179" s="186"/>
      <c r="B179" s="137"/>
      <c r="C179" s="392"/>
      <c r="D179" s="392"/>
      <c r="E179" s="392"/>
      <c r="F179" s="392"/>
      <c r="G179" s="393"/>
      <c r="H179" s="393"/>
      <c r="I179" s="138"/>
      <c r="J179" s="138"/>
      <c r="K179" s="139"/>
      <c r="L179" s="139"/>
      <c r="M179" s="139"/>
      <c r="N179" s="139"/>
      <c r="O179" s="140"/>
      <c r="P179" s="140"/>
      <c r="Q179" s="141"/>
      <c r="R179" s="138"/>
      <c r="S179" s="138"/>
      <c r="T179" s="138"/>
      <c r="U179" s="138"/>
      <c r="V179" s="138"/>
      <c r="W179" s="138"/>
      <c r="X179" s="392"/>
      <c r="Y179" s="392"/>
      <c r="Z179" s="145"/>
    </row>
    <row r="180" spans="1:26" s="143" customFormat="1">
      <c r="A180" s="186"/>
      <c r="B180" s="137"/>
      <c r="C180" s="392"/>
      <c r="D180" s="392"/>
      <c r="E180" s="392"/>
      <c r="F180" s="392"/>
      <c r="G180" s="393"/>
      <c r="H180" s="393"/>
      <c r="I180" s="138"/>
      <c r="J180" s="138"/>
      <c r="K180" s="139"/>
      <c r="L180" s="139"/>
      <c r="M180" s="139"/>
      <c r="N180" s="139"/>
      <c r="O180" s="140"/>
      <c r="P180" s="140"/>
      <c r="Q180" s="141"/>
      <c r="R180" s="138"/>
      <c r="S180" s="138"/>
      <c r="T180" s="138"/>
      <c r="U180" s="138"/>
      <c r="V180" s="138"/>
      <c r="W180" s="138"/>
      <c r="X180" s="392"/>
      <c r="Y180" s="392"/>
      <c r="Z180" s="145"/>
    </row>
    <row r="181" spans="1:26" s="143" customFormat="1">
      <c r="A181" s="186"/>
      <c r="B181" s="137"/>
      <c r="C181" s="392"/>
      <c r="D181" s="392"/>
      <c r="E181" s="392"/>
      <c r="F181" s="392"/>
      <c r="G181" s="393"/>
      <c r="H181" s="393"/>
      <c r="I181" s="138"/>
      <c r="J181" s="138"/>
      <c r="K181" s="139"/>
      <c r="L181" s="139"/>
      <c r="M181" s="139"/>
      <c r="N181" s="139"/>
      <c r="O181" s="140"/>
      <c r="P181" s="140"/>
      <c r="Q181" s="141"/>
      <c r="R181" s="138"/>
      <c r="S181" s="138"/>
      <c r="T181" s="138"/>
      <c r="U181" s="138"/>
      <c r="V181" s="138"/>
      <c r="W181" s="138"/>
      <c r="X181" s="392"/>
      <c r="Y181" s="392"/>
      <c r="Z181" s="145"/>
    </row>
    <row r="182" spans="1:26" s="143" customFormat="1">
      <c r="A182" s="186"/>
      <c r="B182" s="137"/>
      <c r="C182" s="392"/>
      <c r="D182" s="392"/>
      <c r="E182" s="392"/>
      <c r="F182" s="392"/>
      <c r="G182" s="393"/>
      <c r="H182" s="393"/>
      <c r="I182" s="138"/>
      <c r="J182" s="138"/>
      <c r="K182" s="139"/>
      <c r="L182" s="139"/>
      <c r="M182" s="139"/>
      <c r="N182" s="139"/>
      <c r="O182" s="140"/>
      <c r="P182" s="140"/>
      <c r="Q182" s="141"/>
      <c r="R182" s="138"/>
      <c r="S182" s="138"/>
      <c r="T182" s="138"/>
      <c r="U182" s="138"/>
      <c r="V182" s="138"/>
      <c r="W182" s="138"/>
      <c r="X182" s="392"/>
      <c r="Y182" s="392"/>
      <c r="Z182" s="145"/>
    </row>
    <row r="183" spans="1:26" s="143" customFormat="1">
      <c r="A183" s="186"/>
      <c r="B183" s="137"/>
      <c r="C183" s="392"/>
      <c r="D183" s="392"/>
      <c r="E183" s="392"/>
      <c r="F183" s="392"/>
      <c r="G183" s="393"/>
      <c r="H183" s="393"/>
      <c r="I183" s="138"/>
      <c r="J183" s="138"/>
      <c r="K183" s="139"/>
      <c r="L183" s="139"/>
      <c r="M183" s="139"/>
      <c r="N183" s="139"/>
      <c r="O183" s="140"/>
      <c r="P183" s="140"/>
      <c r="Q183" s="141"/>
      <c r="R183" s="138"/>
      <c r="S183" s="138"/>
      <c r="T183" s="138"/>
      <c r="U183" s="138"/>
      <c r="V183" s="138"/>
      <c r="W183" s="138"/>
      <c r="X183" s="392"/>
      <c r="Y183" s="392"/>
      <c r="Z183" s="145"/>
    </row>
    <row r="184" spans="1:26" s="143" customFormat="1">
      <c r="A184" s="186"/>
      <c r="B184" s="137"/>
      <c r="C184" s="392"/>
      <c r="D184" s="392"/>
      <c r="E184" s="392"/>
      <c r="F184" s="392"/>
      <c r="G184" s="393"/>
      <c r="H184" s="393"/>
      <c r="I184" s="138"/>
      <c r="J184" s="138"/>
      <c r="K184" s="139"/>
      <c r="L184" s="139"/>
      <c r="M184" s="139"/>
      <c r="N184" s="139"/>
      <c r="O184" s="140"/>
      <c r="P184" s="140"/>
      <c r="Q184" s="141"/>
      <c r="R184" s="138"/>
      <c r="S184" s="138"/>
      <c r="T184" s="138"/>
      <c r="U184" s="138"/>
      <c r="V184" s="138"/>
      <c r="W184" s="138"/>
      <c r="X184" s="392"/>
      <c r="Y184" s="392"/>
      <c r="Z184" s="145"/>
    </row>
    <row r="185" spans="1:26" s="143" customFormat="1">
      <c r="A185" s="186"/>
      <c r="B185" s="137"/>
      <c r="C185" s="392"/>
      <c r="D185" s="392"/>
      <c r="E185" s="392"/>
      <c r="F185" s="392"/>
      <c r="G185" s="393"/>
      <c r="H185" s="393"/>
      <c r="I185" s="138"/>
      <c r="J185" s="138"/>
      <c r="K185" s="139"/>
      <c r="L185" s="139"/>
      <c r="M185" s="139"/>
      <c r="N185" s="139"/>
      <c r="O185" s="140"/>
      <c r="P185" s="140"/>
      <c r="Q185" s="141"/>
      <c r="R185" s="138"/>
      <c r="S185" s="138"/>
      <c r="T185" s="138"/>
      <c r="U185" s="138"/>
      <c r="V185" s="138"/>
      <c r="W185" s="138"/>
      <c r="X185" s="392"/>
      <c r="Y185" s="392"/>
      <c r="Z185" s="145"/>
    </row>
    <row r="186" spans="1:26" s="143" customFormat="1">
      <c r="A186" s="186"/>
      <c r="B186" s="137"/>
      <c r="C186" s="392"/>
      <c r="D186" s="392"/>
      <c r="E186" s="392"/>
      <c r="F186" s="392"/>
      <c r="G186" s="393"/>
      <c r="H186" s="393"/>
      <c r="I186" s="138"/>
      <c r="J186" s="138"/>
      <c r="K186" s="139"/>
      <c r="L186" s="139"/>
      <c r="M186" s="139"/>
      <c r="N186" s="139"/>
      <c r="O186" s="140"/>
      <c r="P186" s="140"/>
      <c r="Q186" s="141"/>
      <c r="R186" s="138"/>
      <c r="S186" s="138"/>
      <c r="T186" s="138"/>
      <c r="U186" s="138"/>
      <c r="V186" s="138"/>
      <c r="W186" s="138"/>
      <c r="X186" s="392"/>
      <c r="Y186" s="392"/>
      <c r="Z186" s="145"/>
    </row>
    <row r="187" spans="1:26" s="143" customFormat="1">
      <c r="A187" s="186"/>
      <c r="B187" s="137"/>
      <c r="C187" s="392"/>
      <c r="D187" s="392"/>
      <c r="E187" s="392"/>
      <c r="F187" s="392"/>
      <c r="G187" s="393"/>
      <c r="H187" s="393"/>
      <c r="I187" s="138"/>
      <c r="J187" s="138"/>
      <c r="K187" s="139"/>
      <c r="L187" s="139"/>
      <c r="M187" s="139"/>
      <c r="N187" s="139"/>
      <c r="O187" s="140"/>
      <c r="P187" s="140"/>
      <c r="Q187" s="141"/>
      <c r="R187" s="138"/>
      <c r="S187" s="138"/>
      <c r="T187" s="138"/>
      <c r="U187" s="138"/>
      <c r="V187" s="138"/>
      <c r="W187" s="138"/>
      <c r="X187" s="392"/>
      <c r="Y187" s="392"/>
      <c r="Z187" s="145"/>
    </row>
    <row r="188" spans="1:26" s="143" customFormat="1">
      <c r="A188" s="186"/>
      <c r="B188" s="137"/>
      <c r="C188" s="392"/>
      <c r="D188" s="392"/>
      <c r="E188" s="392"/>
      <c r="F188" s="392"/>
      <c r="G188" s="393"/>
      <c r="H188" s="393"/>
      <c r="I188" s="138"/>
      <c r="J188" s="138"/>
      <c r="K188" s="139"/>
      <c r="L188" s="139"/>
      <c r="M188" s="139"/>
      <c r="N188" s="139"/>
      <c r="O188" s="140"/>
      <c r="P188" s="140"/>
      <c r="Q188" s="141"/>
      <c r="R188" s="138"/>
      <c r="S188" s="138"/>
      <c r="T188" s="138"/>
      <c r="U188" s="138"/>
      <c r="V188" s="138"/>
      <c r="W188" s="138"/>
      <c r="X188" s="392"/>
      <c r="Y188" s="392"/>
      <c r="Z188" s="145"/>
    </row>
  </sheetData>
  <autoFilter ref="A1:Z174" xr:uid="{9D6BC328-AA5E-446D-9094-24E7CB8BA6BE}">
    <filterColumn colId="0" showButton="0"/>
    <filterColumn colId="2" showButton="0"/>
    <filterColumn colId="3" showButton="0"/>
    <filterColumn colId="4" showButton="0"/>
    <filterColumn colId="6" showButton="0"/>
    <filterColumn colId="7" showButton="0"/>
    <filterColumn colId="8" showButton="0"/>
    <filterColumn colId="11" showButton="0"/>
    <filterColumn colId="12" showButton="0"/>
  </autoFilter>
  <mergeCells count="690">
    <mergeCell ref="C183:D183"/>
    <mergeCell ref="E183:F183"/>
    <mergeCell ref="G183:H183"/>
    <mergeCell ref="X183:Y183"/>
    <mergeCell ref="C184:D184"/>
    <mergeCell ref="E184:F184"/>
    <mergeCell ref="G184:H184"/>
    <mergeCell ref="X184:Y184"/>
    <mergeCell ref="C185:D185"/>
    <mergeCell ref="E185:F185"/>
    <mergeCell ref="G185:H185"/>
    <mergeCell ref="X185:Y185"/>
    <mergeCell ref="C180:D180"/>
    <mergeCell ref="E180:F180"/>
    <mergeCell ref="G180:H180"/>
    <mergeCell ref="X180:Y180"/>
    <mergeCell ref="C181:D181"/>
    <mergeCell ref="E181:F181"/>
    <mergeCell ref="G181:H181"/>
    <mergeCell ref="X181:Y181"/>
    <mergeCell ref="C182:D182"/>
    <mergeCell ref="E182:F182"/>
    <mergeCell ref="G182:H182"/>
    <mergeCell ref="X182:Y182"/>
    <mergeCell ref="C177:D177"/>
    <mergeCell ref="E177:F177"/>
    <mergeCell ref="G177:H177"/>
    <mergeCell ref="X177:Y177"/>
    <mergeCell ref="C178:D178"/>
    <mergeCell ref="E178:F178"/>
    <mergeCell ref="G178:H178"/>
    <mergeCell ref="X178:Y178"/>
    <mergeCell ref="C179:D179"/>
    <mergeCell ref="E179:F179"/>
    <mergeCell ref="G179:H179"/>
    <mergeCell ref="X179:Y179"/>
    <mergeCell ref="C174:D174"/>
    <mergeCell ref="E174:F174"/>
    <mergeCell ref="G174:H174"/>
    <mergeCell ref="X174:Y174"/>
    <mergeCell ref="C175:D175"/>
    <mergeCell ref="E175:F175"/>
    <mergeCell ref="G175:H175"/>
    <mergeCell ref="X175:Y175"/>
    <mergeCell ref="C176:D176"/>
    <mergeCell ref="E176:F176"/>
    <mergeCell ref="G176:H176"/>
    <mergeCell ref="X176:Y176"/>
    <mergeCell ref="C172:D172"/>
    <mergeCell ref="E172:F172"/>
    <mergeCell ref="G172:H172"/>
    <mergeCell ref="X172:Y172"/>
    <mergeCell ref="C173:D173"/>
    <mergeCell ref="E173:F173"/>
    <mergeCell ref="G173:H173"/>
    <mergeCell ref="X173:Y173"/>
    <mergeCell ref="C169:D169"/>
    <mergeCell ref="E169:F169"/>
    <mergeCell ref="G169:H169"/>
    <mergeCell ref="X169:Y169"/>
    <mergeCell ref="C170:D170"/>
    <mergeCell ref="E170:F170"/>
    <mergeCell ref="G170:H170"/>
    <mergeCell ref="X170:Y170"/>
    <mergeCell ref="C171:D171"/>
    <mergeCell ref="E171:F171"/>
    <mergeCell ref="G171:H171"/>
    <mergeCell ref="X171:Y171"/>
    <mergeCell ref="C166:D166"/>
    <mergeCell ref="E166:F166"/>
    <mergeCell ref="G166:H166"/>
    <mergeCell ref="X166:Y166"/>
    <mergeCell ref="C167:D167"/>
    <mergeCell ref="E167:F167"/>
    <mergeCell ref="G167:H167"/>
    <mergeCell ref="X167:Y167"/>
    <mergeCell ref="C168:D168"/>
    <mergeCell ref="E168:F168"/>
    <mergeCell ref="G168:H168"/>
    <mergeCell ref="X168:Y168"/>
    <mergeCell ref="C163:D163"/>
    <mergeCell ref="E163:F163"/>
    <mergeCell ref="G163:H163"/>
    <mergeCell ref="X163:Y163"/>
    <mergeCell ref="C164:D164"/>
    <mergeCell ref="E164:F164"/>
    <mergeCell ref="G164:H164"/>
    <mergeCell ref="X164:Y164"/>
    <mergeCell ref="C165:D165"/>
    <mergeCell ref="E165:F165"/>
    <mergeCell ref="G165:H165"/>
    <mergeCell ref="X165:Y165"/>
    <mergeCell ref="C160:D160"/>
    <mergeCell ref="E160:F160"/>
    <mergeCell ref="G160:H160"/>
    <mergeCell ref="X160:Y160"/>
    <mergeCell ref="C161:D161"/>
    <mergeCell ref="E161:F161"/>
    <mergeCell ref="G161:H161"/>
    <mergeCell ref="X161:Y161"/>
    <mergeCell ref="C162:D162"/>
    <mergeCell ref="E162:F162"/>
    <mergeCell ref="G162:H162"/>
    <mergeCell ref="X162:Y162"/>
    <mergeCell ref="C129:D129"/>
    <mergeCell ref="E129:F129"/>
    <mergeCell ref="G129:H129"/>
    <mergeCell ref="X129:Y129"/>
    <mergeCell ref="C130:D130"/>
    <mergeCell ref="E130:F130"/>
    <mergeCell ref="G130:H130"/>
    <mergeCell ref="X130:Y130"/>
    <mergeCell ref="C131:D131"/>
    <mergeCell ref="E131:F131"/>
    <mergeCell ref="G131:H131"/>
    <mergeCell ref="X131:Y131"/>
    <mergeCell ref="C126:D126"/>
    <mergeCell ref="E126:F126"/>
    <mergeCell ref="G126:H126"/>
    <mergeCell ref="X126:Y126"/>
    <mergeCell ref="C127:D127"/>
    <mergeCell ref="E127:F127"/>
    <mergeCell ref="G127:H127"/>
    <mergeCell ref="X127:Y127"/>
    <mergeCell ref="C128:D128"/>
    <mergeCell ref="E128:F128"/>
    <mergeCell ref="G128:H128"/>
    <mergeCell ref="X128:Y128"/>
    <mergeCell ref="C123:D123"/>
    <mergeCell ref="E123:F123"/>
    <mergeCell ref="G123:H123"/>
    <mergeCell ref="X123:Y123"/>
    <mergeCell ref="C124:D124"/>
    <mergeCell ref="E124:F124"/>
    <mergeCell ref="G124:H124"/>
    <mergeCell ref="X124:Y124"/>
    <mergeCell ref="C125:D125"/>
    <mergeCell ref="E125:F125"/>
    <mergeCell ref="G125:H125"/>
    <mergeCell ref="X125:Y125"/>
    <mergeCell ref="C120:D120"/>
    <mergeCell ref="E120:F120"/>
    <mergeCell ref="G120:H120"/>
    <mergeCell ref="X120:Y120"/>
    <mergeCell ref="C121:D121"/>
    <mergeCell ref="E121:F121"/>
    <mergeCell ref="G121:H121"/>
    <mergeCell ref="X121:Y121"/>
    <mergeCell ref="C122:D122"/>
    <mergeCell ref="E122:F122"/>
    <mergeCell ref="G122:H122"/>
    <mergeCell ref="X122:Y122"/>
    <mergeCell ref="C117:D117"/>
    <mergeCell ref="E117:F117"/>
    <mergeCell ref="G117:H117"/>
    <mergeCell ref="X117:Y117"/>
    <mergeCell ref="C118:D118"/>
    <mergeCell ref="E118:F118"/>
    <mergeCell ref="G118:H118"/>
    <mergeCell ref="X118:Y118"/>
    <mergeCell ref="C119:D119"/>
    <mergeCell ref="E119:F119"/>
    <mergeCell ref="G119:H119"/>
    <mergeCell ref="X119:Y119"/>
    <mergeCell ref="C114:D114"/>
    <mergeCell ref="E114:F114"/>
    <mergeCell ref="G114:H114"/>
    <mergeCell ref="X114:Y114"/>
    <mergeCell ref="C115:D115"/>
    <mergeCell ref="E115:F115"/>
    <mergeCell ref="G115:H115"/>
    <mergeCell ref="X115:Y115"/>
    <mergeCell ref="C116:D116"/>
    <mergeCell ref="E116:F116"/>
    <mergeCell ref="G116:H116"/>
    <mergeCell ref="X116:Y116"/>
    <mergeCell ref="C111:D111"/>
    <mergeCell ref="E111:F111"/>
    <mergeCell ref="G111:H111"/>
    <mergeCell ref="X111:Y111"/>
    <mergeCell ref="C112:D112"/>
    <mergeCell ref="E112:F112"/>
    <mergeCell ref="G112:H112"/>
    <mergeCell ref="X112:Y112"/>
    <mergeCell ref="C113:D113"/>
    <mergeCell ref="E113:F113"/>
    <mergeCell ref="G113:H113"/>
    <mergeCell ref="X113:Y113"/>
    <mergeCell ref="C108:D108"/>
    <mergeCell ref="E108:F108"/>
    <mergeCell ref="G108:H108"/>
    <mergeCell ref="X108:Y108"/>
    <mergeCell ref="C109:D109"/>
    <mergeCell ref="E109:F109"/>
    <mergeCell ref="G109:H109"/>
    <mergeCell ref="X109:Y109"/>
    <mergeCell ref="C110:D110"/>
    <mergeCell ref="E110:F110"/>
    <mergeCell ref="G110:H110"/>
    <mergeCell ref="X110:Y110"/>
    <mergeCell ref="C105:D105"/>
    <mergeCell ref="E105:F105"/>
    <mergeCell ref="G105:H105"/>
    <mergeCell ref="X105:Y105"/>
    <mergeCell ref="C106:D106"/>
    <mergeCell ref="E106:F106"/>
    <mergeCell ref="G106:H106"/>
    <mergeCell ref="X106:Y106"/>
    <mergeCell ref="C107:D107"/>
    <mergeCell ref="E107:F107"/>
    <mergeCell ref="G107:H107"/>
    <mergeCell ref="X107:Y107"/>
    <mergeCell ref="C102:D102"/>
    <mergeCell ref="E102:F102"/>
    <mergeCell ref="G102:H102"/>
    <mergeCell ref="X102:Y102"/>
    <mergeCell ref="C103:D103"/>
    <mergeCell ref="E103:F103"/>
    <mergeCell ref="G103:H103"/>
    <mergeCell ref="X103:Y103"/>
    <mergeCell ref="C104:D104"/>
    <mergeCell ref="E104:F104"/>
    <mergeCell ref="G104:H104"/>
    <mergeCell ref="X104:Y104"/>
    <mergeCell ref="A1:B3"/>
    <mergeCell ref="E2:F2"/>
    <mergeCell ref="A4:B4"/>
    <mergeCell ref="A13:B13"/>
    <mergeCell ref="A14:B14"/>
    <mergeCell ref="A15:B15"/>
    <mergeCell ref="C18:F18"/>
    <mergeCell ref="A18:B18"/>
    <mergeCell ref="A5:B5"/>
    <mergeCell ref="A6:B6"/>
    <mergeCell ref="A7:B7"/>
    <mergeCell ref="A8:B8"/>
    <mergeCell ref="A9:B9"/>
    <mergeCell ref="A10:B10"/>
    <mergeCell ref="A11:B11"/>
    <mergeCell ref="A12:B12"/>
    <mergeCell ref="A16:B16"/>
    <mergeCell ref="A17:B17"/>
    <mergeCell ref="C24:D24"/>
    <mergeCell ref="C25:D25"/>
    <mergeCell ref="C26:D26"/>
    <mergeCell ref="C86:D86"/>
    <mergeCell ref="C87:D87"/>
    <mergeCell ref="C88:D88"/>
    <mergeCell ref="C89:D89"/>
    <mergeCell ref="C100:D100"/>
    <mergeCell ref="C101:D101"/>
    <mergeCell ref="C84:D84"/>
    <mergeCell ref="C85:D85"/>
    <mergeCell ref="C27:D27"/>
    <mergeCell ref="C28:D28"/>
    <mergeCell ref="C45:D45"/>
    <mergeCell ref="C81:D81"/>
    <mergeCell ref="C82:D82"/>
    <mergeCell ref="C83:D83"/>
    <mergeCell ref="C31:D31"/>
    <mergeCell ref="C34:D34"/>
    <mergeCell ref="C37:D37"/>
    <mergeCell ref="C40:D40"/>
    <mergeCell ref="C44:D44"/>
    <mergeCell ref="C56:D56"/>
    <mergeCell ref="C59:D59"/>
    <mergeCell ref="C62:D62"/>
    <mergeCell ref="C64:D64"/>
    <mergeCell ref="C67:D67"/>
    <mergeCell ref="C70:D70"/>
    <mergeCell ref="C73:D73"/>
    <mergeCell ref="G73:H73"/>
    <mergeCell ref="X73:Y73"/>
    <mergeCell ref="E89:F89"/>
    <mergeCell ref="E100:F100"/>
    <mergeCell ref="G85:H85"/>
    <mergeCell ref="X87:Y87"/>
    <mergeCell ref="X88:Y88"/>
    <mergeCell ref="E62:F62"/>
    <mergeCell ref="G62:H62"/>
    <mergeCell ref="X62:Y62"/>
    <mergeCell ref="C63:D63"/>
    <mergeCell ref="E63:F63"/>
    <mergeCell ref="G63:H63"/>
    <mergeCell ref="X63:Y63"/>
    <mergeCell ref="E64:F64"/>
    <mergeCell ref="G64:H64"/>
    <mergeCell ref="X64:Y64"/>
    <mergeCell ref="C65:D65"/>
    <mergeCell ref="E65:F65"/>
    <mergeCell ref="G24:H24"/>
    <mergeCell ref="G25:H25"/>
    <mergeCell ref="G26:H26"/>
    <mergeCell ref="G27:H27"/>
    <mergeCell ref="G28:H28"/>
    <mergeCell ref="G45:H45"/>
    <mergeCell ref="E86:F86"/>
    <mergeCell ref="E87:F87"/>
    <mergeCell ref="E88:F88"/>
    <mergeCell ref="E81:F81"/>
    <mergeCell ref="E82:F82"/>
    <mergeCell ref="E83:F83"/>
    <mergeCell ref="E84:F84"/>
    <mergeCell ref="E85:F85"/>
    <mergeCell ref="E24:F24"/>
    <mergeCell ref="E25:F25"/>
    <mergeCell ref="E26:F26"/>
    <mergeCell ref="G88:H88"/>
    <mergeCell ref="G81:H81"/>
    <mergeCell ref="G82:H82"/>
    <mergeCell ref="G83:H83"/>
    <mergeCell ref="G84:H84"/>
    <mergeCell ref="G49:H49"/>
    <mergeCell ref="G31:H31"/>
    <mergeCell ref="X89:Y89"/>
    <mergeCell ref="X100:Y100"/>
    <mergeCell ref="X101:Y101"/>
    <mergeCell ref="L1:N1"/>
    <mergeCell ref="A22:N22"/>
    <mergeCell ref="X85:Y85"/>
    <mergeCell ref="X86:Y86"/>
    <mergeCell ref="X28:Y28"/>
    <mergeCell ref="X45:Y45"/>
    <mergeCell ref="X81:Y81"/>
    <mergeCell ref="X82:Y82"/>
    <mergeCell ref="X83:Y83"/>
    <mergeCell ref="X84:Y84"/>
    <mergeCell ref="G89:H89"/>
    <mergeCell ref="G100:H100"/>
    <mergeCell ref="G101:H101"/>
    <mergeCell ref="I2:J2"/>
    <mergeCell ref="G1:J1"/>
    <mergeCell ref="G18:J18"/>
    <mergeCell ref="X27:Y27"/>
    <mergeCell ref="G86:H86"/>
    <mergeCell ref="G87:H87"/>
    <mergeCell ref="E101:F101"/>
    <mergeCell ref="C1:F1"/>
    <mergeCell ref="X49:Y49"/>
    <mergeCell ref="C52:D52"/>
    <mergeCell ref="E52:F52"/>
    <mergeCell ref="G52:H52"/>
    <mergeCell ref="X52:Y52"/>
    <mergeCell ref="K19:L19"/>
    <mergeCell ref="C29:D29"/>
    <mergeCell ref="E29:F29"/>
    <mergeCell ref="G29:H29"/>
    <mergeCell ref="X29:Y29"/>
    <mergeCell ref="C30:D30"/>
    <mergeCell ref="E30:F30"/>
    <mergeCell ref="G30:H30"/>
    <mergeCell ref="X30:Y30"/>
    <mergeCell ref="X24:Y24"/>
    <mergeCell ref="X25:Y25"/>
    <mergeCell ref="X26:Y26"/>
    <mergeCell ref="E27:F27"/>
    <mergeCell ref="E28:F28"/>
    <mergeCell ref="I23:S23"/>
    <mergeCell ref="T23:W23"/>
    <mergeCell ref="X46:Y46"/>
    <mergeCell ref="G46:H46"/>
    <mergeCell ref="E31:F31"/>
    <mergeCell ref="X31:Y31"/>
    <mergeCell ref="C32:D32"/>
    <mergeCell ref="E32:F32"/>
    <mergeCell ref="G32:H32"/>
    <mergeCell ref="X32:Y32"/>
    <mergeCell ref="C33:D33"/>
    <mergeCell ref="E33:F33"/>
    <mergeCell ref="G33:H33"/>
    <mergeCell ref="X33:Y33"/>
    <mergeCell ref="E34:F34"/>
    <mergeCell ref="G34:H34"/>
    <mergeCell ref="X34:Y34"/>
    <mergeCell ref="C35:D35"/>
    <mergeCell ref="E35:F35"/>
    <mergeCell ref="G35:H35"/>
    <mergeCell ref="X35:Y35"/>
    <mergeCell ref="C36:D36"/>
    <mergeCell ref="E36:F36"/>
    <mergeCell ref="G36:H36"/>
    <mergeCell ref="X36:Y36"/>
    <mergeCell ref="E37:F37"/>
    <mergeCell ref="G37:H37"/>
    <mergeCell ref="X37:Y37"/>
    <mergeCell ref="C38:D38"/>
    <mergeCell ref="E38:F38"/>
    <mergeCell ref="G38:H38"/>
    <mergeCell ref="X38:Y38"/>
    <mergeCell ref="C39:D39"/>
    <mergeCell ref="E39:F39"/>
    <mergeCell ref="G39:H39"/>
    <mergeCell ref="X39:Y39"/>
    <mergeCell ref="E40:F40"/>
    <mergeCell ref="G40:H40"/>
    <mergeCell ref="X40:Y40"/>
    <mergeCell ref="C41:D41"/>
    <mergeCell ref="E41:F41"/>
    <mergeCell ref="G41:H41"/>
    <mergeCell ref="X41:Y41"/>
    <mergeCell ref="C43:D43"/>
    <mergeCell ref="E43:F43"/>
    <mergeCell ref="G43:H43"/>
    <mergeCell ref="X43:Y43"/>
    <mergeCell ref="C42:D42"/>
    <mergeCell ref="E42:F42"/>
    <mergeCell ref="G42:H42"/>
    <mergeCell ref="X42:Y42"/>
    <mergeCell ref="E44:F44"/>
    <mergeCell ref="G44:H44"/>
    <mergeCell ref="X44:Y44"/>
    <mergeCell ref="C50:D50"/>
    <mergeCell ref="E50:F50"/>
    <mergeCell ref="G50:H50"/>
    <mergeCell ref="X50:Y50"/>
    <mergeCell ref="C51:D51"/>
    <mergeCell ref="E51:F51"/>
    <mergeCell ref="G51:H51"/>
    <mergeCell ref="X51:Y51"/>
    <mergeCell ref="E46:F46"/>
    <mergeCell ref="C46:D46"/>
    <mergeCell ref="C47:D47"/>
    <mergeCell ref="E47:F47"/>
    <mergeCell ref="G47:H47"/>
    <mergeCell ref="X47:Y47"/>
    <mergeCell ref="C48:D48"/>
    <mergeCell ref="E48:F48"/>
    <mergeCell ref="G48:H48"/>
    <mergeCell ref="X48:Y48"/>
    <mergeCell ref="E45:F45"/>
    <mergeCell ref="C49:D49"/>
    <mergeCell ref="E49:F49"/>
    <mergeCell ref="E53:F53"/>
    <mergeCell ref="G53:H53"/>
    <mergeCell ref="X53:Y53"/>
    <mergeCell ref="C54:D54"/>
    <mergeCell ref="E54:F54"/>
    <mergeCell ref="G54:H54"/>
    <mergeCell ref="X54:Y54"/>
    <mergeCell ref="C55:D55"/>
    <mergeCell ref="E55:F55"/>
    <mergeCell ref="G55:H55"/>
    <mergeCell ref="X55:Y55"/>
    <mergeCell ref="C53:D53"/>
    <mergeCell ref="E56:F56"/>
    <mergeCell ref="G56:H56"/>
    <mergeCell ref="X56:Y56"/>
    <mergeCell ref="C57:D57"/>
    <mergeCell ref="E57:F57"/>
    <mergeCell ref="G57:H57"/>
    <mergeCell ref="X57:Y57"/>
    <mergeCell ref="C58:D58"/>
    <mergeCell ref="E58:F58"/>
    <mergeCell ref="G58:H58"/>
    <mergeCell ref="X58:Y58"/>
    <mergeCell ref="E59:F59"/>
    <mergeCell ref="G59:H59"/>
    <mergeCell ref="X59:Y59"/>
    <mergeCell ref="C60:D60"/>
    <mergeCell ref="E60:F60"/>
    <mergeCell ref="G60:H60"/>
    <mergeCell ref="X60:Y60"/>
    <mergeCell ref="C61:D61"/>
    <mergeCell ref="E61:F61"/>
    <mergeCell ref="G61:H61"/>
    <mergeCell ref="X61:Y61"/>
    <mergeCell ref="G65:H65"/>
    <mergeCell ref="X65:Y65"/>
    <mergeCell ref="C66:D66"/>
    <mergeCell ref="E66:F66"/>
    <mergeCell ref="G66:H66"/>
    <mergeCell ref="X66:Y66"/>
    <mergeCell ref="E67:F67"/>
    <mergeCell ref="G67:H67"/>
    <mergeCell ref="X67:Y67"/>
    <mergeCell ref="C68:D68"/>
    <mergeCell ref="E68:F68"/>
    <mergeCell ref="G68:H68"/>
    <mergeCell ref="X68:Y68"/>
    <mergeCell ref="C69:D69"/>
    <mergeCell ref="E69:F69"/>
    <mergeCell ref="G69:H69"/>
    <mergeCell ref="X69:Y69"/>
    <mergeCell ref="C75:D75"/>
    <mergeCell ref="E75:F75"/>
    <mergeCell ref="G75:H75"/>
    <mergeCell ref="X75:Y75"/>
    <mergeCell ref="C74:D74"/>
    <mergeCell ref="E74:F74"/>
    <mergeCell ref="G74:H74"/>
    <mergeCell ref="X74:Y74"/>
    <mergeCell ref="C79:D79"/>
    <mergeCell ref="E79:F79"/>
    <mergeCell ref="G79:H79"/>
    <mergeCell ref="X79:Y79"/>
    <mergeCell ref="E70:F70"/>
    <mergeCell ref="G70:H70"/>
    <mergeCell ref="X70:Y70"/>
    <mergeCell ref="C71:D71"/>
    <mergeCell ref="E71:F71"/>
    <mergeCell ref="G71:H71"/>
    <mergeCell ref="X71:Y71"/>
    <mergeCell ref="C72:D72"/>
    <mergeCell ref="E72:F72"/>
    <mergeCell ref="G72:H72"/>
    <mergeCell ref="X72:Y72"/>
    <mergeCell ref="C98:D98"/>
    <mergeCell ref="E98:F98"/>
    <mergeCell ref="G98:H98"/>
    <mergeCell ref="X98:Y98"/>
    <mergeCell ref="C80:D80"/>
    <mergeCell ref="E80:F80"/>
    <mergeCell ref="G80:H80"/>
    <mergeCell ref="X80:Y80"/>
    <mergeCell ref="C19:D19"/>
    <mergeCell ref="I19:J19"/>
    <mergeCell ref="I20:J20"/>
    <mergeCell ref="C76:D76"/>
    <mergeCell ref="E76:F76"/>
    <mergeCell ref="G76:H76"/>
    <mergeCell ref="X76:Y76"/>
    <mergeCell ref="C77:D77"/>
    <mergeCell ref="E77:F77"/>
    <mergeCell ref="G77:H77"/>
    <mergeCell ref="X77:Y77"/>
    <mergeCell ref="C78:D78"/>
    <mergeCell ref="E78:F78"/>
    <mergeCell ref="G78:H78"/>
    <mergeCell ref="X78:Y78"/>
    <mergeCell ref="E73:F73"/>
    <mergeCell ref="C96:D96"/>
    <mergeCell ref="E96:F96"/>
    <mergeCell ref="G96:H96"/>
    <mergeCell ref="X96:Y96"/>
    <mergeCell ref="C97:D97"/>
    <mergeCell ref="E97:F97"/>
    <mergeCell ref="G97:H97"/>
    <mergeCell ref="X97:Y97"/>
    <mergeCell ref="C95:D95"/>
    <mergeCell ref="E95:F95"/>
    <mergeCell ref="G95:H95"/>
    <mergeCell ref="X95:Y95"/>
    <mergeCell ref="C99:D99"/>
    <mergeCell ref="E99:F99"/>
    <mergeCell ref="G99:H99"/>
    <mergeCell ref="X99:Y99"/>
    <mergeCell ref="C90:D90"/>
    <mergeCell ref="E90:F90"/>
    <mergeCell ref="G90:H90"/>
    <mergeCell ref="X90:Y90"/>
    <mergeCell ref="C91:D91"/>
    <mergeCell ref="E91:F91"/>
    <mergeCell ref="G91:H91"/>
    <mergeCell ref="X91:Y91"/>
    <mergeCell ref="C92:D92"/>
    <mergeCell ref="E92:F92"/>
    <mergeCell ref="G92:H92"/>
    <mergeCell ref="X92:Y92"/>
    <mergeCell ref="C93:D93"/>
    <mergeCell ref="E93:F93"/>
    <mergeCell ref="G93:H93"/>
    <mergeCell ref="X93:Y93"/>
    <mergeCell ref="C94:D94"/>
    <mergeCell ref="E94:F94"/>
    <mergeCell ref="G94:H94"/>
    <mergeCell ref="X94:Y94"/>
    <mergeCell ref="C132:D132"/>
    <mergeCell ref="E132:F132"/>
    <mergeCell ref="G132:H132"/>
    <mergeCell ref="X132:Y132"/>
    <mergeCell ref="C133:D133"/>
    <mergeCell ref="E133:F133"/>
    <mergeCell ref="G133:H133"/>
    <mergeCell ref="X133:Y133"/>
    <mergeCell ref="C134:D134"/>
    <mergeCell ref="E134:F134"/>
    <mergeCell ref="G134:H134"/>
    <mergeCell ref="X134:Y134"/>
    <mergeCell ref="C135:D135"/>
    <mergeCell ref="E135:F135"/>
    <mergeCell ref="G135:H135"/>
    <mergeCell ref="X135:Y135"/>
    <mergeCell ref="C136:D136"/>
    <mergeCell ref="E136:F136"/>
    <mergeCell ref="G136:H136"/>
    <mergeCell ref="X136:Y136"/>
    <mergeCell ref="C137:D137"/>
    <mergeCell ref="E137:F137"/>
    <mergeCell ref="G137:H137"/>
    <mergeCell ref="X137:Y137"/>
    <mergeCell ref="C138:D138"/>
    <mergeCell ref="E138:F138"/>
    <mergeCell ref="G138:H138"/>
    <mergeCell ref="X138:Y138"/>
    <mergeCell ref="C139:D139"/>
    <mergeCell ref="E139:F139"/>
    <mergeCell ref="G139:H139"/>
    <mergeCell ref="X139:Y139"/>
    <mergeCell ref="C140:D140"/>
    <mergeCell ref="E140:F140"/>
    <mergeCell ref="G140:H140"/>
    <mergeCell ref="X140:Y140"/>
    <mergeCell ref="C141:D141"/>
    <mergeCell ref="E141:F141"/>
    <mergeCell ref="G141:H141"/>
    <mergeCell ref="X141:Y141"/>
    <mergeCell ref="C142:D142"/>
    <mergeCell ref="E142:F142"/>
    <mergeCell ref="G142:H142"/>
    <mergeCell ref="X142:Y142"/>
    <mergeCell ref="C143:D143"/>
    <mergeCell ref="E143:F143"/>
    <mergeCell ref="G143:H143"/>
    <mergeCell ref="X143:Y143"/>
    <mergeCell ref="C144:D144"/>
    <mergeCell ref="E144:F144"/>
    <mergeCell ref="G144:H144"/>
    <mergeCell ref="X144:Y144"/>
    <mergeCell ref="C145:D145"/>
    <mergeCell ref="E145:F145"/>
    <mergeCell ref="G145:H145"/>
    <mergeCell ref="X145:Y145"/>
    <mergeCell ref="C146:D146"/>
    <mergeCell ref="E146:F146"/>
    <mergeCell ref="G146:H146"/>
    <mergeCell ref="X146:Y146"/>
    <mergeCell ref="C147:D147"/>
    <mergeCell ref="E147:F147"/>
    <mergeCell ref="G147:H147"/>
    <mergeCell ref="X147:Y147"/>
    <mergeCell ref="C148:D148"/>
    <mergeCell ref="E148:F148"/>
    <mergeCell ref="G148:H148"/>
    <mergeCell ref="X148:Y148"/>
    <mergeCell ref="C149:D149"/>
    <mergeCell ref="E149:F149"/>
    <mergeCell ref="G149:H149"/>
    <mergeCell ref="X149:Y149"/>
    <mergeCell ref="C150:D150"/>
    <mergeCell ref="E150:F150"/>
    <mergeCell ref="G150:H150"/>
    <mergeCell ref="X150:Y150"/>
    <mergeCell ref="C151:D151"/>
    <mergeCell ref="E151:F151"/>
    <mergeCell ref="G151:H151"/>
    <mergeCell ref="X151:Y151"/>
    <mergeCell ref="C152:D152"/>
    <mergeCell ref="E152:F152"/>
    <mergeCell ref="G152:H152"/>
    <mergeCell ref="X152:Y152"/>
    <mergeCell ref="C153:D153"/>
    <mergeCell ref="E153:F153"/>
    <mergeCell ref="G153:H153"/>
    <mergeCell ref="X153:Y153"/>
    <mergeCell ref="C154:D154"/>
    <mergeCell ref="E154:F154"/>
    <mergeCell ref="G154:H154"/>
    <mergeCell ref="X154:Y154"/>
    <mergeCell ref="C155:D155"/>
    <mergeCell ref="E155:F155"/>
    <mergeCell ref="G155:H155"/>
    <mergeCell ref="X155:Y155"/>
    <mergeCell ref="C159:D159"/>
    <mergeCell ref="E159:F159"/>
    <mergeCell ref="G159:H159"/>
    <mergeCell ref="X159:Y159"/>
    <mergeCell ref="C156:D156"/>
    <mergeCell ref="E156:F156"/>
    <mergeCell ref="G156:H156"/>
    <mergeCell ref="X156:Y156"/>
    <mergeCell ref="C157:D157"/>
    <mergeCell ref="E157:F157"/>
    <mergeCell ref="G157:H157"/>
    <mergeCell ref="X157:Y157"/>
    <mergeCell ref="C158:D158"/>
    <mergeCell ref="E158:F158"/>
    <mergeCell ref="G158:H158"/>
    <mergeCell ref="X158:Y158"/>
    <mergeCell ref="C186:D186"/>
    <mergeCell ref="E186:F186"/>
    <mergeCell ref="G186:H186"/>
    <mergeCell ref="X186:Y186"/>
    <mergeCell ref="C187:D187"/>
    <mergeCell ref="E187:F187"/>
    <mergeCell ref="G187:H187"/>
    <mergeCell ref="X187:Y187"/>
    <mergeCell ref="C188:D188"/>
    <mergeCell ref="E188:F188"/>
    <mergeCell ref="G188:H188"/>
    <mergeCell ref="X188:Y188"/>
  </mergeCells>
  <pageMargins left="0.25" right="0.25" top="0.75" bottom="0.75" header="0.3" footer="0.3"/>
  <pageSetup orientation="portrait" r:id="rId1"/>
  <headerFooter>
    <oddHeader>&amp;C&amp;"Times New Roman,Bold"&amp;16&amp;UHARVESTS</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31"/>
  <sheetViews>
    <sheetView view="pageLayout" zoomScale="120" zoomScaleNormal="130" zoomScaleSheetLayoutView="130" zoomScalePageLayoutView="120" workbookViewId="0">
      <selection activeCell="G14" sqref="G14:G17"/>
    </sheetView>
  </sheetViews>
  <sheetFormatPr defaultColWidth="9.140625" defaultRowHeight="12.6"/>
  <cols>
    <col min="1" max="1" width="13.28515625" style="8" customWidth="1"/>
    <col min="2" max="2" width="10.85546875" style="8" bestFit="1" customWidth="1"/>
    <col min="3" max="3" width="20.140625" style="8" bestFit="1" customWidth="1"/>
    <col min="4" max="4" width="14" style="8" bestFit="1" customWidth="1"/>
    <col min="5" max="5" width="9" style="8" bestFit="1" customWidth="1"/>
    <col min="6" max="6" width="6" style="8" bestFit="1" customWidth="1"/>
    <col min="7" max="7" width="7.7109375" style="8" customWidth="1"/>
    <col min="8" max="9" width="8.140625" style="8" bestFit="1" customWidth="1"/>
    <col min="10" max="10" width="9.140625" style="8" bestFit="1" customWidth="1"/>
    <col min="11" max="11" width="7.7109375" style="8" bestFit="1" customWidth="1"/>
    <col min="12" max="16384" width="9.140625" style="8"/>
  </cols>
  <sheetData>
    <row r="1" spans="1:12" ht="12.95" thickBot="1">
      <c r="H1" s="431" t="s">
        <v>108</v>
      </c>
      <c r="I1" s="431"/>
      <c r="J1" s="431"/>
      <c r="K1" s="431"/>
    </row>
    <row r="2" spans="1:12" s="46" customFormat="1" ht="56.45" thickBot="1">
      <c r="A2" s="63" t="s">
        <v>2</v>
      </c>
      <c r="B2" s="64" t="s">
        <v>109</v>
      </c>
      <c r="C2" s="64" t="s">
        <v>110</v>
      </c>
      <c r="D2" s="64" t="s">
        <v>111</v>
      </c>
      <c r="E2" s="64" t="s">
        <v>40</v>
      </c>
      <c r="F2" s="67" t="s">
        <v>41</v>
      </c>
      <c r="G2" s="75" t="s">
        <v>24</v>
      </c>
      <c r="H2" s="73" t="s">
        <v>112</v>
      </c>
      <c r="I2" s="47" t="s">
        <v>113</v>
      </c>
      <c r="J2" s="47" t="s">
        <v>114</v>
      </c>
      <c r="K2" s="48" t="s">
        <v>115</v>
      </c>
    </row>
    <row r="3" spans="1:12">
      <c r="A3" s="68">
        <v>45299</v>
      </c>
      <c r="B3" s="65">
        <v>0</v>
      </c>
      <c r="C3" s="65">
        <v>0</v>
      </c>
      <c r="D3" s="65">
        <v>0</v>
      </c>
      <c r="E3" s="65">
        <v>0</v>
      </c>
      <c r="F3" s="65">
        <v>0</v>
      </c>
      <c r="G3" s="65">
        <v>0</v>
      </c>
      <c r="H3" s="65">
        <v>0</v>
      </c>
      <c r="I3" s="65">
        <v>0</v>
      </c>
      <c r="J3" s="65">
        <v>0</v>
      </c>
      <c r="K3" s="65">
        <v>0</v>
      </c>
    </row>
    <row r="4" spans="1:12">
      <c r="A4" s="68">
        <v>45307</v>
      </c>
      <c r="B4" s="65">
        <v>0</v>
      </c>
      <c r="C4" s="65">
        <v>0</v>
      </c>
      <c r="D4" s="65">
        <v>0</v>
      </c>
      <c r="E4" s="65">
        <v>0</v>
      </c>
      <c r="F4" s="65">
        <v>0</v>
      </c>
      <c r="G4" s="65">
        <v>0</v>
      </c>
      <c r="H4" s="65">
        <v>0</v>
      </c>
      <c r="I4" s="65">
        <v>0</v>
      </c>
      <c r="J4" s="65">
        <v>0</v>
      </c>
      <c r="K4" s="65">
        <v>0</v>
      </c>
    </row>
    <row r="5" spans="1:12">
      <c r="A5" s="68">
        <v>45313</v>
      </c>
      <c r="B5" s="65">
        <v>0</v>
      </c>
      <c r="C5" s="65">
        <v>0</v>
      </c>
      <c r="D5" s="65">
        <v>0</v>
      </c>
      <c r="E5" s="65">
        <v>0</v>
      </c>
      <c r="F5" s="65">
        <v>0</v>
      </c>
      <c r="G5" s="65">
        <v>0</v>
      </c>
      <c r="H5" s="65">
        <v>0</v>
      </c>
      <c r="I5" s="65">
        <v>0</v>
      </c>
      <c r="J5" s="65">
        <v>0</v>
      </c>
      <c r="K5" s="65">
        <v>0</v>
      </c>
    </row>
    <row r="6" spans="1:12">
      <c r="A6" s="68">
        <v>45320</v>
      </c>
      <c r="B6" s="65">
        <v>0</v>
      </c>
      <c r="C6" s="65">
        <v>0</v>
      </c>
      <c r="D6" s="65">
        <v>0</v>
      </c>
      <c r="E6" s="65">
        <v>0</v>
      </c>
      <c r="F6" s="65">
        <v>0</v>
      </c>
      <c r="G6" s="65">
        <v>0</v>
      </c>
      <c r="H6" s="65">
        <v>0</v>
      </c>
      <c r="I6" s="65">
        <v>0</v>
      </c>
      <c r="J6" s="65">
        <v>0</v>
      </c>
      <c r="K6" s="65">
        <v>0</v>
      </c>
    </row>
    <row r="7" spans="1:12">
      <c r="A7" s="68">
        <v>45327</v>
      </c>
      <c r="B7" s="65">
        <v>0</v>
      </c>
      <c r="C7" s="65">
        <v>0</v>
      </c>
      <c r="D7" s="65">
        <v>0</v>
      </c>
      <c r="E7" s="65">
        <v>0</v>
      </c>
      <c r="F7" s="65">
        <v>0</v>
      </c>
      <c r="G7" s="65">
        <v>0</v>
      </c>
      <c r="H7" s="65">
        <v>0</v>
      </c>
      <c r="I7" s="65">
        <v>0</v>
      </c>
      <c r="J7" s="65">
        <v>0</v>
      </c>
      <c r="K7" s="65">
        <v>0</v>
      </c>
    </row>
    <row r="8" spans="1:12">
      <c r="A8" s="68">
        <v>45336</v>
      </c>
      <c r="B8" s="65">
        <v>0</v>
      </c>
      <c r="C8" s="65">
        <v>0</v>
      </c>
      <c r="D8" s="65">
        <v>0</v>
      </c>
      <c r="E8" s="65">
        <v>0</v>
      </c>
      <c r="F8" s="69">
        <v>0</v>
      </c>
      <c r="G8" s="76">
        <v>0</v>
      </c>
      <c r="H8" s="74">
        <v>0</v>
      </c>
      <c r="I8" s="9">
        <v>0</v>
      </c>
      <c r="J8" s="10">
        <v>0</v>
      </c>
      <c r="K8" s="9">
        <v>0</v>
      </c>
    </row>
    <row r="9" spans="1:12">
      <c r="A9" s="68">
        <v>45348</v>
      </c>
      <c r="B9" s="65">
        <v>0</v>
      </c>
      <c r="C9" s="65">
        <v>0</v>
      </c>
      <c r="D9" s="65">
        <v>0</v>
      </c>
      <c r="E9" s="65">
        <v>0</v>
      </c>
      <c r="F9" s="69">
        <v>0</v>
      </c>
      <c r="G9" s="76">
        <v>0</v>
      </c>
      <c r="H9" s="74">
        <v>0</v>
      </c>
      <c r="I9" s="9">
        <v>0</v>
      </c>
      <c r="J9" s="10">
        <v>0</v>
      </c>
      <c r="K9" s="9">
        <v>0</v>
      </c>
    </row>
    <row r="10" spans="1:12">
      <c r="A10" s="68">
        <v>45357</v>
      </c>
      <c r="B10" s="65">
        <v>12</v>
      </c>
      <c r="C10" s="65">
        <v>0</v>
      </c>
      <c r="D10" s="65">
        <v>0</v>
      </c>
      <c r="E10" s="65">
        <v>0</v>
      </c>
      <c r="F10" s="69">
        <v>0</v>
      </c>
      <c r="G10" s="76">
        <v>12</v>
      </c>
      <c r="H10" s="74">
        <v>0</v>
      </c>
      <c r="I10" s="9">
        <v>0</v>
      </c>
      <c r="J10" s="10">
        <v>0</v>
      </c>
      <c r="K10" s="9">
        <v>0</v>
      </c>
    </row>
    <row r="11" spans="1:12">
      <c r="A11" s="68">
        <v>45363</v>
      </c>
      <c r="B11" s="65">
        <v>42</v>
      </c>
      <c r="C11" s="65">
        <v>0</v>
      </c>
      <c r="D11" s="65">
        <v>0</v>
      </c>
      <c r="E11" s="65">
        <v>0</v>
      </c>
      <c r="F11" s="69">
        <v>0</v>
      </c>
      <c r="G11" s="76">
        <v>42</v>
      </c>
      <c r="H11" s="74">
        <v>0</v>
      </c>
      <c r="I11" s="9">
        <v>0</v>
      </c>
      <c r="J11" s="10">
        <v>0</v>
      </c>
      <c r="K11" s="9">
        <v>0</v>
      </c>
    </row>
    <row r="12" spans="1:12">
      <c r="A12" s="68">
        <v>45369</v>
      </c>
      <c r="B12" s="65">
        <v>54</v>
      </c>
      <c r="C12" s="65">
        <v>102</v>
      </c>
      <c r="D12" s="65">
        <v>0</v>
      </c>
      <c r="E12" s="65">
        <v>0</v>
      </c>
      <c r="F12" s="69">
        <v>0</v>
      </c>
      <c r="G12" s="76">
        <v>156</v>
      </c>
      <c r="H12" s="74">
        <v>0</v>
      </c>
      <c r="I12" s="9">
        <v>0</v>
      </c>
      <c r="J12" s="10">
        <v>0</v>
      </c>
      <c r="K12" s="9">
        <v>0</v>
      </c>
    </row>
    <row r="13" spans="1:12">
      <c r="A13" s="68">
        <v>45376</v>
      </c>
      <c r="B13" s="65">
        <v>9</v>
      </c>
      <c r="C13" s="65">
        <v>58</v>
      </c>
      <c r="D13" s="65">
        <v>0</v>
      </c>
      <c r="E13" s="65">
        <v>0</v>
      </c>
      <c r="F13" s="69">
        <v>0</v>
      </c>
      <c r="G13" s="76">
        <v>67</v>
      </c>
      <c r="H13" s="74">
        <v>5</v>
      </c>
      <c r="I13" s="9">
        <v>5</v>
      </c>
      <c r="J13" s="10">
        <v>29</v>
      </c>
      <c r="K13" s="9">
        <v>29</v>
      </c>
      <c r="L13" s="8" t="s">
        <v>116</v>
      </c>
    </row>
    <row r="14" spans="1:12">
      <c r="A14" s="68">
        <v>45383</v>
      </c>
      <c r="B14" s="65">
        <v>7</v>
      </c>
      <c r="C14" s="65">
        <v>65</v>
      </c>
      <c r="D14" s="65">
        <v>2</v>
      </c>
      <c r="E14" s="65">
        <v>0</v>
      </c>
      <c r="F14" s="69">
        <v>0</v>
      </c>
      <c r="G14" s="76">
        <v>74</v>
      </c>
      <c r="H14" s="74">
        <v>11</v>
      </c>
      <c r="I14" s="9">
        <v>6</v>
      </c>
      <c r="J14" s="10">
        <v>20</v>
      </c>
      <c r="K14" s="9">
        <v>-9</v>
      </c>
    </row>
    <row r="15" spans="1:12">
      <c r="A15" s="68">
        <v>45390</v>
      </c>
      <c r="B15" s="65">
        <v>50</v>
      </c>
      <c r="C15" s="65">
        <v>121</v>
      </c>
      <c r="D15" s="65">
        <v>0</v>
      </c>
      <c r="E15" s="65">
        <v>0</v>
      </c>
      <c r="F15" s="69">
        <v>0</v>
      </c>
      <c r="G15" s="76">
        <v>171</v>
      </c>
      <c r="H15" s="74">
        <v>11</v>
      </c>
      <c r="I15" s="9">
        <v>0</v>
      </c>
      <c r="J15" s="10">
        <v>20</v>
      </c>
      <c r="K15" s="9">
        <v>0</v>
      </c>
      <c r="L15" s="8" t="s">
        <v>117</v>
      </c>
    </row>
    <row r="16" spans="1:12">
      <c r="A16" s="68">
        <v>45398</v>
      </c>
      <c r="B16" s="66">
        <v>36</v>
      </c>
      <c r="C16" s="65">
        <v>74</v>
      </c>
      <c r="D16" s="65">
        <v>85</v>
      </c>
      <c r="E16" s="65">
        <v>0</v>
      </c>
      <c r="F16" s="69">
        <v>0</v>
      </c>
      <c r="G16" s="76">
        <v>195</v>
      </c>
      <c r="H16" s="74">
        <v>11</v>
      </c>
      <c r="I16" s="9">
        <v>0</v>
      </c>
      <c r="J16" s="10">
        <v>20</v>
      </c>
      <c r="K16" s="9">
        <v>0</v>
      </c>
      <c r="L16" s="8" t="s">
        <v>118</v>
      </c>
    </row>
    <row r="17" spans="1:12">
      <c r="A17" s="68">
        <v>45406</v>
      </c>
      <c r="B17" s="65">
        <v>45</v>
      </c>
      <c r="C17" s="65">
        <v>110</v>
      </c>
      <c r="D17" s="65">
        <v>0</v>
      </c>
      <c r="E17" s="65">
        <v>0</v>
      </c>
      <c r="F17" s="69">
        <v>0</v>
      </c>
      <c r="G17" s="76">
        <v>155</v>
      </c>
      <c r="H17" s="74">
        <v>11</v>
      </c>
      <c r="I17" s="9">
        <v>0</v>
      </c>
      <c r="J17" s="10">
        <v>20</v>
      </c>
      <c r="K17" s="9">
        <v>0</v>
      </c>
      <c r="L17" s="8" t="s">
        <v>118</v>
      </c>
    </row>
    <row r="18" spans="1:12">
      <c r="A18" s="68">
        <v>45414</v>
      </c>
      <c r="B18" s="65">
        <v>24</v>
      </c>
      <c r="C18" s="65">
        <v>17</v>
      </c>
      <c r="D18" s="65">
        <v>0</v>
      </c>
      <c r="E18" s="65">
        <v>2</v>
      </c>
      <c r="F18" s="69">
        <v>0</v>
      </c>
      <c r="G18" s="76">
        <v>43</v>
      </c>
      <c r="H18" s="74">
        <v>13</v>
      </c>
      <c r="I18" s="9">
        <v>2</v>
      </c>
      <c r="J18" s="10">
        <v>20</v>
      </c>
      <c r="K18" s="9">
        <v>0</v>
      </c>
    </row>
    <row r="19" spans="1:12">
      <c r="A19" s="68"/>
      <c r="B19" s="65"/>
      <c r="C19" s="65"/>
      <c r="D19" s="65"/>
      <c r="E19" s="65"/>
      <c r="F19" s="69"/>
      <c r="G19" s="76"/>
      <c r="H19" s="74"/>
      <c r="I19" s="9"/>
      <c r="J19" s="10"/>
      <c r="K19" s="9"/>
    </row>
    <row r="20" spans="1:12">
      <c r="A20" s="68"/>
      <c r="B20" s="65"/>
      <c r="C20" s="65"/>
      <c r="D20" s="65"/>
      <c r="E20" s="65"/>
      <c r="F20" s="69"/>
      <c r="G20" s="76"/>
      <c r="H20" s="74"/>
      <c r="I20" s="9"/>
      <c r="J20" s="10"/>
      <c r="K20" s="9"/>
    </row>
    <row r="21" spans="1:12">
      <c r="A21" s="68"/>
      <c r="B21" s="65"/>
      <c r="C21" s="65"/>
      <c r="D21" s="65"/>
      <c r="E21" s="65"/>
      <c r="F21" s="69"/>
      <c r="G21" s="76"/>
      <c r="H21" s="74"/>
      <c r="I21" s="9"/>
      <c r="J21" s="10"/>
      <c r="K21" s="9"/>
    </row>
    <row r="22" spans="1:12">
      <c r="A22" s="68"/>
      <c r="B22" s="65"/>
      <c r="C22" s="65"/>
      <c r="D22" s="65"/>
      <c r="E22" s="65"/>
      <c r="F22" s="69"/>
      <c r="G22" s="76" t="str">
        <f t="shared" ref="G22:G25" si="0">IF(A22&lt;&gt;"",SUM(B22:F22),"")</f>
        <v/>
      </c>
      <c r="H22" s="74" t="str">
        <f t="shared" ref="H22:H25" si="1">IF(A22&lt;&gt;"",H21+I22,"")</f>
        <v/>
      </c>
      <c r="I22" s="9" t="str">
        <f>IF(A22&lt;&gt;"",INDEX('Harvest Log'!$G$25:$G$515,MATCH('Gardiner Basin Counts'!$A22,'Harvest Log'!$A$25:$A$515,0)),"")</f>
        <v/>
      </c>
      <c r="J22" s="10" t="str">
        <f t="shared" ref="J22:J31" si="2">IF(A22&lt;&gt;"",J21+K22,"")</f>
        <v/>
      </c>
      <c r="K22" s="9" t="str">
        <f>IF(A22&lt;&gt;"",INDEX('Harvest Log'!$I$25:$I$515,MATCH('Gardiner Basin Counts'!$A22,'Harvest Log'!$A$25:$A$515,0)),"")</f>
        <v/>
      </c>
    </row>
    <row r="23" spans="1:12">
      <c r="A23" s="68"/>
      <c r="B23" s="65"/>
      <c r="C23" s="65"/>
      <c r="D23" s="65"/>
      <c r="E23" s="65"/>
      <c r="F23" s="69"/>
      <c r="G23" s="76" t="str">
        <f t="shared" si="0"/>
        <v/>
      </c>
      <c r="H23" s="74" t="str">
        <f t="shared" si="1"/>
        <v/>
      </c>
      <c r="I23" s="9" t="str">
        <f>IF(A23&lt;&gt;"",INDEX('Harvest Log'!$G$25:$G$515,MATCH('Gardiner Basin Counts'!$A23,'Harvest Log'!$A$25:$A$515,0)),"")</f>
        <v/>
      </c>
      <c r="J23" s="10" t="str">
        <f t="shared" si="2"/>
        <v/>
      </c>
      <c r="K23" s="9" t="str">
        <f>IF(A23&lt;&gt;"",INDEX('Harvest Log'!$I$25:$I$515,MATCH('Gardiner Basin Counts'!$A23,'Harvest Log'!$A$25:$A$515,0)),"")</f>
        <v/>
      </c>
    </row>
    <row r="24" spans="1:12">
      <c r="A24" s="68"/>
      <c r="B24" s="65"/>
      <c r="C24" s="65"/>
      <c r="D24" s="65"/>
      <c r="E24" s="65"/>
      <c r="F24" s="69"/>
      <c r="G24" s="76" t="str">
        <f t="shared" si="0"/>
        <v/>
      </c>
      <c r="H24" s="74" t="str">
        <f t="shared" si="1"/>
        <v/>
      </c>
      <c r="I24" s="9" t="str">
        <f>IF(A24&lt;&gt;"",INDEX('Harvest Log'!$G$25:$G$515,MATCH('Gardiner Basin Counts'!$A24,'Harvest Log'!$A$25:$A$515,0)),"")</f>
        <v/>
      </c>
      <c r="J24" s="10" t="str">
        <f t="shared" si="2"/>
        <v/>
      </c>
      <c r="K24" s="9" t="str">
        <f>IF(A24&lt;&gt;"",INDEX('Harvest Log'!$I$25:$I$515,MATCH('Gardiner Basin Counts'!$A24,'Harvest Log'!$A$25:$A$515,0)),"")</f>
        <v/>
      </c>
    </row>
    <row r="25" spans="1:12">
      <c r="A25" s="68"/>
      <c r="B25" s="65"/>
      <c r="C25" s="65"/>
      <c r="D25" s="65"/>
      <c r="E25" s="65"/>
      <c r="F25" s="69"/>
      <c r="G25" s="76" t="str">
        <f t="shared" si="0"/>
        <v/>
      </c>
      <c r="H25" s="74" t="str">
        <f t="shared" si="1"/>
        <v/>
      </c>
      <c r="I25" s="9" t="str">
        <f>IF(A25&lt;&gt;"",INDEX('Harvest Log'!$G$25:$G$515,MATCH('Gardiner Basin Counts'!$A25,'Harvest Log'!$A$25:$A$515,0)),"")</f>
        <v/>
      </c>
      <c r="J25" s="10" t="str">
        <f t="shared" si="2"/>
        <v/>
      </c>
      <c r="K25" s="9" t="str">
        <f>IF(A25&lt;&gt;"",INDEX('Harvest Log'!$I$25:$I$515,MATCH('Gardiner Basin Counts'!$A25,'Harvest Log'!$A$25:$A$515,0)),"")</f>
        <v/>
      </c>
    </row>
    <row r="26" spans="1:12">
      <c r="A26" s="68"/>
      <c r="B26" s="65"/>
      <c r="C26" s="65"/>
      <c r="D26" s="65"/>
      <c r="E26" s="65"/>
      <c r="F26" s="69"/>
      <c r="G26" s="76" t="str">
        <f t="shared" ref="G26:G31" si="3">IF(A26&lt;&gt;"",SUM(B26:F26),"")</f>
        <v/>
      </c>
      <c r="H26" s="74" t="str">
        <f t="shared" ref="H26:H31" si="4">IF(A26&lt;&gt;"",H25+I26,"")</f>
        <v/>
      </c>
      <c r="I26" s="9" t="str">
        <f>IF(A26&lt;&gt;"",INDEX('Harvest Log'!$G$25:$G$515,MATCH('Gardiner Basin Counts'!$A26,'Harvest Log'!$A$25:$A$515,0)),"")</f>
        <v/>
      </c>
      <c r="J26" s="10" t="str">
        <f t="shared" si="2"/>
        <v/>
      </c>
      <c r="K26" s="9" t="str">
        <f>IF(A26&lt;&gt;"",INDEX('Harvest Log'!$I$25:$I$515,MATCH('Gardiner Basin Counts'!$A26,'Harvest Log'!$A$25:$A$515,0)),"")</f>
        <v/>
      </c>
    </row>
    <row r="27" spans="1:12">
      <c r="A27" s="68"/>
      <c r="B27" s="65"/>
      <c r="C27" s="65"/>
      <c r="D27" s="65"/>
      <c r="E27" s="65"/>
      <c r="F27" s="69"/>
      <c r="G27" s="76" t="str">
        <f t="shared" si="3"/>
        <v/>
      </c>
      <c r="H27" s="74" t="str">
        <f t="shared" si="4"/>
        <v/>
      </c>
      <c r="I27" s="9" t="str">
        <f>IF(A27&lt;&gt;"",INDEX('Harvest Log'!$G$25:$G$515,MATCH('Gardiner Basin Counts'!$A27,'Harvest Log'!$A$25:$A$515,0)),"")</f>
        <v/>
      </c>
      <c r="J27" s="10" t="str">
        <f t="shared" si="2"/>
        <v/>
      </c>
      <c r="K27" s="9" t="str">
        <f>IF(A27&lt;&gt;"",INDEX('Harvest Log'!$I$25:$I$515,MATCH('Gardiner Basin Counts'!$A27,'Harvest Log'!$A$25:$A$515,0)),"")</f>
        <v/>
      </c>
    </row>
    <row r="28" spans="1:12">
      <c r="A28" s="68"/>
      <c r="B28" s="65"/>
      <c r="C28" s="65"/>
      <c r="D28" s="65"/>
      <c r="E28" s="65"/>
      <c r="F28" s="69"/>
      <c r="G28" s="76" t="str">
        <f t="shared" si="3"/>
        <v/>
      </c>
      <c r="H28" s="74" t="str">
        <f t="shared" si="4"/>
        <v/>
      </c>
      <c r="I28" s="9" t="str">
        <f>IF(A28&lt;&gt;"",INDEX('Harvest Log'!$G$25:$G$515,MATCH('Gardiner Basin Counts'!$A28,'Harvest Log'!$A$25:$A$515,0)),"")</f>
        <v/>
      </c>
      <c r="J28" s="10" t="str">
        <f t="shared" si="2"/>
        <v/>
      </c>
      <c r="K28" s="9" t="str">
        <f>IF(A28&lt;&gt;"",INDEX('Harvest Log'!$I$25:$I$515,MATCH('Gardiner Basin Counts'!$A28,'Harvest Log'!$A$25:$A$515,0)),"")</f>
        <v/>
      </c>
    </row>
    <row r="29" spans="1:12">
      <c r="A29" s="68"/>
      <c r="B29" s="65"/>
      <c r="C29" s="65"/>
      <c r="D29" s="65"/>
      <c r="E29" s="65"/>
      <c r="F29" s="69"/>
      <c r="G29" s="76" t="str">
        <f t="shared" si="3"/>
        <v/>
      </c>
      <c r="H29" s="74" t="str">
        <f t="shared" si="4"/>
        <v/>
      </c>
      <c r="I29" s="9" t="str">
        <f>IF(A29&lt;&gt;"",INDEX('Harvest Log'!$G$25:$G$515,MATCH('Gardiner Basin Counts'!$A29,'Harvest Log'!$A$25:$A$515,0)),"")</f>
        <v/>
      </c>
      <c r="J29" s="10" t="str">
        <f t="shared" si="2"/>
        <v/>
      </c>
      <c r="K29" s="9" t="str">
        <f>IF(A29&lt;&gt;"",INDEX('Harvest Log'!$I$25:$I$515,MATCH('Gardiner Basin Counts'!$A29,'Harvest Log'!$A$25:$A$515,0)),"")</f>
        <v/>
      </c>
    </row>
    <row r="30" spans="1:12">
      <c r="A30" s="68"/>
      <c r="B30" s="65"/>
      <c r="C30" s="65"/>
      <c r="D30" s="65"/>
      <c r="E30" s="65"/>
      <c r="F30" s="69"/>
      <c r="G30" s="76" t="str">
        <f t="shared" si="3"/>
        <v/>
      </c>
      <c r="H30" s="74" t="str">
        <f t="shared" si="4"/>
        <v/>
      </c>
      <c r="I30" s="9" t="str">
        <f>IF(A30&lt;&gt;"",INDEX('Harvest Log'!$G$25:$G$515,MATCH('Gardiner Basin Counts'!$A30,'Harvest Log'!$A$25:$A$515,0)),"")</f>
        <v/>
      </c>
      <c r="J30" s="10" t="str">
        <f t="shared" si="2"/>
        <v/>
      </c>
      <c r="K30" s="9" t="str">
        <f>IF(A30&lt;&gt;"",INDEX('Harvest Log'!$I$25:$I$515,MATCH('Gardiner Basin Counts'!$A30,'Harvest Log'!$A$25:$A$515,0)),"")</f>
        <v/>
      </c>
    </row>
    <row r="31" spans="1:12" ht="12.95" thickBot="1">
      <c r="A31" s="70"/>
      <c r="B31" s="71"/>
      <c r="C31" s="71"/>
      <c r="D31" s="71"/>
      <c r="E31" s="71"/>
      <c r="F31" s="72"/>
      <c r="G31" s="77" t="str">
        <f t="shared" si="3"/>
        <v/>
      </c>
      <c r="H31" s="74" t="str">
        <f t="shared" si="4"/>
        <v/>
      </c>
      <c r="I31" s="9" t="str">
        <f>IF(A31&lt;&gt;"",INDEX('Harvest Log'!$G$25:$G$515,MATCH('Gardiner Basin Counts'!$A31,'Harvest Log'!$A$25:$A$515,0)),"")</f>
        <v/>
      </c>
      <c r="J31" s="10" t="str">
        <f t="shared" si="2"/>
        <v/>
      </c>
      <c r="K31" s="9" t="str">
        <f>IF(A31&lt;&gt;"",INDEX('Harvest Log'!$I$25:$I$515,MATCH('Gardiner Basin Counts'!$A31,'Harvest Log'!$A$25:$A$515,0)),"")</f>
        <v/>
      </c>
    </row>
  </sheetData>
  <mergeCells count="1">
    <mergeCell ref="H1:K1"/>
  </mergeCells>
  <pageMargins left="0.7" right="0.7" top="0.75" bottom="0.75" header="0.3" footer="0.3"/>
  <pageSetup scale="86" orientation="landscape" r:id="rId1"/>
  <headerFooter>
    <oddHeader>&amp;C&amp;"Times New Roman,Bold"&amp;16&amp;UGardiner Basin Counts</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1171F-9D1E-41CB-8672-16267C42810D}">
  <dimension ref="A1:J26"/>
  <sheetViews>
    <sheetView workbookViewId="0">
      <selection activeCell="C14" sqref="A3:J14"/>
    </sheetView>
  </sheetViews>
  <sheetFormatPr defaultRowHeight="14.45"/>
  <cols>
    <col min="10" max="10" width="59.85546875" customWidth="1"/>
  </cols>
  <sheetData>
    <row r="1" spans="1:10" ht="14.65" thickBot="1">
      <c r="A1" s="436" t="s">
        <v>119</v>
      </c>
      <c r="B1" s="436"/>
      <c r="C1" s="436"/>
      <c r="D1" s="436"/>
      <c r="E1" s="436"/>
      <c r="F1" s="436"/>
      <c r="G1" s="436"/>
      <c r="H1" s="436"/>
      <c r="I1" s="436"/>
      <c r="J1" s="436"/>
    </row>
    <row r="2" spans="1:10" ht="14.65" thickBot="1">
      <c r="A2" s="437" t="s">
        <v>2</v>
      </c>
      <c r="B2" s="438"/>
      <c r="C2" s="437" t="s">
        <v>106</v>
      </c>
      <c r="D2" s="438"/>
      <c r="E2" s="438"/>
      <c r="F2" s="438"/>
      <c r="G2" s="438"/>
      <c r="H2" s="438"/>
      <c r="I2" s="438"/>
      <c r="J2" s="441"/>
    </row>
    <row r="3" spans="1:10" ht="50.25" customHeight="1">
      <c r="A3" s="439"/>
      <c r="B3" s="440"/>
      <c r="C3" s="442"/>
      <c r="D3" s="443"/>
      <c r="E3" s="443"/>
      <c r="F3" s="443"/>
      <c r="G3" s="443"/>
      <c r="H3" s="443"/>
      <c r="I3" s="443"/>
      <c r="J3" s="444"/>
    </row>
    <row r="4" spans="1:10" ht="40.5" customHeight="1">
      <c r="A4" s="432"/>
      <c r="B4" s="433"/>
      <c r="C4" s="434"/>
      <c r="D4" s="434"/>
      <c r="E4" s="434"/>
      <c r="F4" s="434"/>
      <c r="G4" s="434"/>
      <c r="H4" s="434"/>
      <c r="I4" s="434"/>
      <c r="J4" s="435"/>
    </row>
    <row r="5" spans="1:10" ht="44.25" customHeight="1">
      <c r="A5" s="432"/>
      <c r="B5" s="433"/>
      <c r="C5" s="434"/>
      <c r="D5" s="434"/>
      <c r="E5" s="434"/>
      <c r="F5" s="434"/>
      <c r="G5" s="434"/>
      <c r="H5" s="434"/>
      <c r="I5" s="434"/>
      <c r="J5" s="435"/>
    </row>
    <row r="6" spans="1:10" ht="75.599999999999994" customHeight="1">
      <c r="A6" s="432"/>
      <c r="B6" s="433"/>
      <c r="C6" s="434"/>
      <c r="D6" s="434"/>
      <c r="E6" s="434"/>
      <c r="F6" s="434"/>
      <c r="G6" s="434"/>
      <c r="H6" s="434"/>
      <c r="I6" s="434"/>
      <c r="J6" s="435"/>
    </row>
    <row r="7" spans="1:10">
      <c r="A7" s="432"/>
      <c r="B7" s="433"/>
      <c r="C7" s="434"/>
      <c r="D7" s="434"/>
      <c r="E7" s="434"/>
      <c r="F7" s="434"/>
      <c r="G7" s="434"/>
      <c r="H7" s="434"/>
      <c r="I7" s="434"/>
      <c r="J7" s="435"/>
    </row>
    <row r="8" spans="1:10" ht="159" customHeight="1">
      <c r="A8" s="432"/>
      <c r="B8" s="433"/>
      <c r="C8" s="434"/>
      <c r="D8" s="434"/>
      <c r="E8" s="434"/>
      <c r="F8" s="434"/>
      <c r="G8" s="434"/>
      <c r="H8" s="434"/>
      <c r="I8" s="434"/>
      <c r="J8" s="435"/>
    </row>
    <row r="9" spans="1:10" ht="59.45" customHeight="1">
      <c r="A9" s="432"/>
      <c r="B9" s="433"/>
      <c r="C9" s="434"/>
      <c r="D9" s="434"/>
      <c r="E9" s="434"/>
      <c r="F9" s="434"/>
      <c r="G9" s="434"/>
      <c r="H9" s="434"/>
      <c r="I9" s="434"/>
      <c r="J9" s="435"/>
    </row>
    <row r="10" spans="1:10" ht="52.9" customHeight="1">
      <c r="A10" s="432"/>
      <c r="B10" s="433"/>
      <c r="C10" s="434"/>
      <c r="D10" s="434"/>
      <c r="E10" s="434"/>
      <c r="F10" s="434"/>
      <c r="G10" s="434"/>
      <c r="H10" s="434"/>
      <c r="I10" s="434"/>
      <c r="J10" s="435"/>
    </row>
    <row r="11" spans="1:10" ht="40.9" customHeight="1">
      <c r="A11" s="432"/>
      <c r="B11" s="433"/>
      <c r="C11" s="434"/>
      <c r="D11" s="434"/>
      <c r="E11" s="434"/>
      <c r="F11" s="434"/>
      <c r="G11" s="434"/>
      <c r="H11" s="434"/>
      <c r="I11" s="434"/>
      <c r="J11" s="435"/>
    </row>
    <row r="12" spans="1:10">
      <c r="A12" s="432"/>
      <c r="B12" s="433"/>
      <c r="C12" s="434"/>
      <c r="D12" s="434"/>
      <c r="E12" s="434"/>
      <c r="F12" s="434"/>
      <c r="G12" s="434"/>
      <c r="H12" s="434"/>
      <c r="I12" s="434"/>
      <c r="J12" s="435"/>
    </row>
    <row r="13" spans="1:10">
      <c r="A13" s="432"/>
      <c r="B13" s="433"/>
      <c r="C13" s="434"/>
      <c r="D13" s="434"/>
      <c r="E13" s="434"/>
      <c r="F13" s="434"/>
      <c r="G13" s="434"/>
      <c r="H13" s="434"/>
      <c r="I13" s="434"/>
      <c r="J13" s="435"/>
    </row>
    <row r="14" spans="1:10" ht="72.599999999999994" customHeight="1">
      <c r="A14" s="432"/>
      <c r="B14" s="433"/>
      <c r="C14" s="434"/>
      <c r="D14" s="434"/>
      <c r="E14" s="434"/>
      <c r="F14" s="434"/>
      <c r="G14" s="434"/>
      <c r="H14" s="434"/>
      <c r="I14" s="434"/>
      <c r="J14" s="435"/>
    </row>
    <row r="15" spans="1:10">
      <c r="A15" s="432"/>
      <c r="B15" s="433"/>
      <c r="C15" s="434"/>
      <c r="D15" s="434"/>
      <c r="E15" s="434"/>
      <c r="F15" s="434"/>
      <c r="G15" s="434"/>
      <c r="H15" s="434"/>
      <c r="I15" s="434"/>
      <c r="J15" s="435"/>
    </row>
    <row r="16" spans="1:10">
      <c r="A16" s="432"/>
      <c r="B16" s="433"/>
      <c r="C16" s="434"/>
      <c r="D16" s="434"/>
      <c r="E16" s="434"/>
      <c r="F16" s="434"/>
      <c r="G16" s="434"/>
      <c r="H16" s="434"/>
      <c r="I16" s="434"/>
      <c r="J16" s="435"/>
    </row>
    <row r="17" spans="1:10">
      <c r="A17" s="432"/>
      <c r="B17" s="433"/>
      <c r="C17" s="434"/>
      <c r="D17" s="434"/>
      <c r="E17" s="434"/>
      <c r="F17" s="434"/>
      <c r="G17" s="434"/>
      <c r="H17" s="434"/>
      <c r="I17" s="434"/>
      <c r="J17" s="435"/>
    </row>
    <row r="18" spans="1:10">
      <c r="A18" s="432"/>
      <c r="B18" s="433"/>
      <c r="C18" s="434"/>
      <c r="D18" s="434"/>
      <c r="E18" s="434"/>
      <c r="F18" s="434"/>
      <c r="G18" s="434"/>
      <c r="H18" s="434"/>
      <c r="I18" s="434"/>
      <c r="J18" s="435"/>
    </row>
    <row r="19" spans="1:10">
      <c r="A19" s="432"/>
      <c r="B19" s="433"/>
      <c r="C19" s="434"/>
      <c r="D19" s="434"/>
      <c r="E19" s="434"/>
      <c r="F19" s="434"/>
      <c r="G19" s="434"/>
      <c r="H19" s="434"/>
      <c r="I19" s="434"/>
      <c r="J19" s="435"/>
    </row>
    <row r="20" spans="1:10">
      <c r="A20" s="432"/>
      <c r="B20" s="433"/>
      <c r="C20" s="434"/>
      <c r="D20" s="434"/>
      <c r="E20" s="434"/>
      <c r="F20" s="434"/>
      <c r="G20" s="434"/>
      <c r="H20" s="434"/>
      <c r="I20" s="434"/>
      <c r="J20" s="435"/>
    </row>
    <row r="21" spans="1:10">
      <c r="A21" s="432"/>
      <c r="B21" s="433"/>
      <c r="C21" s="434"/>
      <c r="D21" s="434"/>
      <c r="E21" s="434"/>
      <c r="F21" s="434"/>
      <c r="G21" s="434"/>
      <c r="H21" s="434"/>
      <c r="I21" s="434"/>
      <c r="J21" s="435"/>
    </row>
    <row r="22" spans="1:10">
      <c r="A22" s="432"/>
      <c r="B22" s="433"/>
      <c r="C22" s="434"/>
      <c r="D22" s="434"/>
      <c r="E22" s="434"/>
      <c r="F22" s="434"/>
      <c r="G22" s="434"/>
      <c r="H22" s="434"/>
      <c r="I22" s="434"/>
      <c r="J22" s="435"/>
    </row>
    <row r="23" spans="1:10">
      <c r="A23" s="432"/>
      <c r="B23" s="433"/>
      <c r="C23" s="434"/>
      <c r="D23" s="434"/>
      <c r="E23" s="434"/>
      <c r="F23" s="434"/>
      <c r="G23" s="434"/>
      <c r="H23" s="434"/>
      <c r="I23" s="434"/>
      <c r="J23" s="435"/>
    </row>
    <row r="24" spans="1:10">
      <c r="A24" s="432"/>
      <c r="B24" s="433"/>
      <c r="C24" s="434"/>
      <c r="D24" s="434"/>
      <c r="E24" s="434"/>
      <c r="F24" s="434"/>
      <c r="G24" s="434"/>
      <c r="H24" s="434"/>
      <c r="I24" s="434"/>
      <c r="J24" s="435"/>
    </row>
    <row r="25" spans="1:10">
      <c r="A25" s="432"/>
      <c r="B25" s="433"/>
      <c r="C25" s="434"/>
      <c r="D25" s="434"/>
      <c r="E25" s="434"/>
      <c r="F25" s="434"/>
      <c r="G25" s="434"/>
      <c r="H25" s="434"/>
      <c r="I25" s="434"/>
      <c r="J25" s="435"/>
    </row>
    <row r="26" spans="1:10">
      <c r="A26" s="432"/>
      <c r="B26" s="433"/>
      <c r="C26" s="434"/>
      <c r="D26" s="434"/>
      <c r="E26" s="434"/>
      <c r="F26" s="434"/>
      <c r="G26" s="434"/>
      <c r="H26" s="434"/>
      <c r="I26" s="434"/>
      <c r="J26" s="435"/>
    </row>
  </sheetData>
  <mergeCells count="51">
    <mergeCell ref="A1:J1"/>
    <mergeCell ref="A2:B2"/>
    <mergeCell ref="A3:B3"/>
    <mergeCell ref="A4:B4"/>
    <mergeCell ref="A5:B5"/>
    <mergeCell ref="C2:J2"/>
    <mergeCell ref="C3:J3"/>
    <mergeCell ref="C4:J4"/>
    <mergeCell ref="C5:J5"/>
    <mergeCell ref="C6:J6"/>
    <mergeCell ref="A12:B12"/>
    <mergeCell ref="C12:J12"/>
    <mergeCell ref="C7:J7"/>
    <mergeCell ref="C8:J8"/>
    <mergeCell ref="C9:J9"/>
    <mergeCell ref="C10:J10"/>
    <mergeCell ref="A6:B6"/>
    <mergeCell ref="A7:B7"/>
    <mergeCell ref="A8:B8"/>
    <mergeCell ref="A9:B9"/>
    <mergeCell ref="A10:B10"/>
    <mergeCell ref="A13:B13"/>
    <mergeCell ref="C13:J13"/>
    <mergeCell ref="C11:J11"/>
    <mergeCell ref="A11:B11"/>
    <mergeCell ref="A14:B14"/>
    <mergeCell ref="C14:J14"/>
    <mergeCell ref="A15:B15"/>
    <mergeCell ref="C15:J15"/>
    <mergeCell ref="A16:B16"/>
    <mergeCell ref="C16:J16"/>
    <mergeCell ref="A22:B22"/>
    <mergeCell ref="C22:J22"/>
    <mergeCell ref="A20:B20"/>
    <mergeCell ref="C20:J20"/>
    <mergeCell ref="A21:B21"/>
    <mergeCell ref="C21:J21"/>
    <mergeCell ref="A24:B24"/>
    <mergeCell ref="C24:J24"/>
    <mergeCell ref="A26:B26"/>
    <mergeCell ref="C26:J26"/>
    <mergeCell ref="A17:B17"/>
    <mergeCell ref="C17:J17"/>
    <mergeCell ref="A25:B25"/>
    <mergeCell ref="C25:J25"/>
    <mergeCell ref="A18:B18"/>
    <mergeCell ref="C18:J18"/>
    <mergeCell ref="A19:B19"/>
    <mergeCell ref="C19:J19"/>
    <mergeCell ref="A23:B23"/>
    <mergeCell ref="C23:J23"/>
  </mergeCells>
  <phoneticPr fontId="2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4"/>
  <sheetViews>
    <sheetView zoomScale="115" zoomScaleNormal="115" workbookViewId="0">
      <pane ySplit="1" topLeftCell="A2" activePane="bottomLeft" state="frozen"/>
      <selection pane="bottomLeft" activeCell="B3" sqref="B3"/>
    </sheetView>
  </sheetViews>
  <sheetFormatPr defaultColWidth="9.140625" defaultRowHeight="12.6"/>
  <cols>
    <col min="1" max="1" width="10.7109375" style="8" bestFit="1" customWidth="1"/>
    <col min="2" max="2" width="6.85546875" style="8" bestFit="1" customWidth="1"/>
    <col min="3" max="6" width="9.140625" style="8"/>
    <col min="7" max="7" width="6.7109375" style="8" customWidth="1"/>
    <col min="8" max="8" width="3.85546875" style="8" customWidth="1"/>
    <col min="9" max="9" width="9.140625" style="8"/>
    <col min="10" max="10" width="5" style="8" customWidth="1"/>
    <col min="11" max="11" width="7" style="8" customWidth="1"/>
    <col min="12" max="12" width="9.140625" style="8" customWidth="1"/>
    <col min="13" max="16384" width="9.140625" style="8"/>
  </cols>
  <sheetData>
    <row r="1" spans="1:2" ht="12.95" thickBot="1">
      <c r="A1" s="172" t="s">
        <v>2</v>
      </c>
      <c r="B1" s="173" t="s">
        <v>120</v>
      </c>
    </row>
    <row r="2" spans="1:2">
      <c r="A2" s="174">
        <v>45373</v>
      </c>
      <c r="B2" s="175">
        <v>29</v>
      </c>
    </row>
    <row r="3" spans="1:2">
      <c r="A3" s="176"/>
      <c r="B3" s="177"/>
    </row>
    <row r="4" spans="1:2">
      <c r="A4" s="176"/>
      <c r="B4" s="177"/>
    </row>
    <row r="5" spans="1:2">
      <c r="A5" s="176"/>
      <c r="B5" s="177"/>
    </row>
    <row r="6" spans="1:2">
      <c r="A6" s="176"/>
      <c r="B6" s="177"/>
    </row>
    <row r="7" spans="1:2">
      <c r="A7" s="176"/>
      <c r="B7" s="177"/>
    </row>
    <row r="8" spans="1:2">
      <c r="A8" s="176"/>
      <c r="B8" s="177"/>
    </row>
    <row r="9" spans="1:2">
      <c r="A9" s="176"/>
      <c r="B9" s="177"/>
    </row>
    <row r="10" spans="1:2">
      <c r="A10" s="176"/>
      <c r="B10" s="177"/>
    </row>
    <row r="11" spans="1:2">
      <c r="A11" s="176"/>
      <c r="B11" s="177"/>
    </row>
    <row r="12" spans="1:2">
      <c r="A12" s="176"/>
      <c r="B12" s="177"/>
    </row>
    <row r="13" spans="1:2">
      <c r="A13" s="176"/>
      <c r="B13" s="178"/>
    </row>
    <row r="14" spans="1:2">
      <c r="A14" s="176"/>
      <c r="B14" s="178"/>
    </row>
    <row r="15" spans="1:2">
      <c r="A15" s="176"/>
      <c r="B15" s="178"/>
    </row>
    <row r="16" spans="1:2">
      <c r="A16" s="176"/>
      <c r="B16" s="178"/>
    </row>
    <row r="17" spans="1:2">
      <c r="A17" s="176"/>
      <c r="B17" s="178"/>
    </row>
    <row r="18" spans="1:2">
      <c r="A18" s="176"/>
      <c r="B18" s="178"/>
    </row>
    <row r="19" spans="1:2">
      <c r="A19" s="176"/>
      <c r="B19" s="178"/>
    </row>
    <row r="20" spans="1:2">
      <c r="A20" s="176"/>
      <c r="B20" s="178"/>
    </row>
    <row r="21" spans="1:2">
      <c r="A21" s="179"/>
      <c r="B21" s="236"/>
    </row>
    <row r="22" spans="1:2">
      <c r="A22" s="179"/>
      <c r="B22" s="236"/>
    </row>
    <row r="23" spans="1:2" ht="12.95" thickBot="1">
      <c r="A23" s="179"/>
      <c r="B23" s="236"/>
    </row>
    <row r="24" spans="1:2" ht="12.95" thickBot="1">
      <c r="A24" s="180" t="s">
        <v>66</v>
      </c>
      <c r="B24" s="181">
        <f>SUM(B2:B23)</f>
        <v>29</v>
      </c>
    </row>
  </sheetData>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I12"/>
  <sheetViews>
    <sheetView zoomScale="115" zoomScaleNormal="115" workbookViewId="0">
      <selection activeCell="G38" sqref="G38"/>
    </sheetView>
  </sheetViews>
  <sheetFormatPr defaultColWidth="9.140625" defaultRowHeight="12.6"/>
  <cols>
    <col min="1" max="2" width="9.140625" style="8"/>
    <col min="3" max="3" width="18.42578125" style="8" bestFit="1" customWidth="1"/>
    <col min="4" max="4" width="13.5703125" style="8" bestFit="1" customWidth="1"/>
    <col min="5" max="5" width="11.5703125" style="8" bestFit="1" customWidth="1"/>
    <col min="6" max="6" width="10.140625" style="8" bestFit="1" customWidth="1"/>
    <col min="7" max="7" width="31" style="8" bestFit="1" customWidth="1"/>
    <col min="8" max="8" width="26" style="8" bestFit="1" customWidth="1"/>
    <col min="9" max="9" width="63.42578125" style="8" customWidth="1"/>
    <col min="10" max="16384" width="9.140625" style="8"/>
  </cols>
  <sheetData>
    <row r="2" spans="2:9" ht="12.95" thickBot="1">
      <c r="B2" s="16" t="s">
        <v>2</v>
      </c>
      <c r="C2" s="16" t="s">
        <v>121</v>
      </c>
      <c r="D2" s="16" t="s">
        <v>122</v>
      </c>
      <c r="E2" s="16" t="s">
        <v>123</v>
      </c>
      <c r="F2" s="16" t="s">
        <v>124</v>
      </c>
      <c r="G2" s="16" t="s">
        <v>125</v>
      </c>
      <c r="H2" s="16" t="s">
        <v>126</v>
      </c>
      <c r="I2" s="16" t="s">
        <v>106</v>
      </c>
    </row>
    <row r="3" spans="2:9" ht="12.95" thickBot="1">
      <c r="B3" s="17"/>
      <c r="C3" s="18"/>
      <c r="D3" s="18"/>
      <c r="E3" s="18"/>
      <c r="F3" s="18"/>
      <c r="G3" s="18"/>
      <c r="H3" s="18"/>
      <c r="I3" s="18"/>
    </row>
    <row r="4" spans="2:9">
      <c r="B4" s="19"/>
      <c r="C4" s="20"/>
      <c r="D4" s="20"/>
      <c r="E4" s="20"/>
      <c r="F4" s="20"/>
      <c r="G4" s="20"/>
      <c r="H4" s="20"/>
      <c r="I4" s="20"/>
    </row>
    <row r="5" spans="2:9">
      <c r="B5" s="22"/>
      <c r="C5" s="23"/>
      <c r="D5" s="23"/>
      <c r="E5" s="23"/>
      <c r="F5" s="23"/>
      <c r="G5" s="23"/>
      <c r="H5" s="23"/>
      <c r="I5" s="23"/>
    </row>
    <row r="6" spans="2:9" ht="12.95" thickBot="1">
      <c r="B6" s="21"/>
      <c r="C6" s="21"/>
      <c r="D6" s="21"/>
      <c r="E6" s="21"/>
      <c r="F6" s="21"/>
      <c r="G6" s="21"/>
      <c r="H6" s="21"/>
      <c r="I6" s="21"/>
    </row>
    <row r="11" spans="2:9" ht="12.95" thickBot="1">
      <c r="B11" s="16" t="s">
        <v>2</v>
      </c>
      <c r="C11" s="16" t="s">
        <v>121</v>
      </c>
      <c r="D11" s="16" t="s">
        <v>122</v>
      </c>
      <c r="E11" s="16" t="s">
        <v>123</v>
      </c>
      <c r="F11" s="16" t="s">
        <v>124</v>
      </c>
      <c r="G11" s="16"/>
      <c r="H11" s="16" t="s">
        <v>126</v>
      </c>
    </row>
    <row r="12" spans="2:9" ht="12.95" thickBot="1">
      <c r="B12" s="17"/>
      <c r="C12" s="18"/>
      <c r="D12" s="18"/>
      <c r="E12" s="18"/>
      <c r="F12" s="18"/>
      <c r="G12" s="18"/>
      <c r="H12" s="18"/>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0"/>
  <sheetViews>
    <sheetView zoomScale="160" zoomScaleNormal="160" workbookViewId="0">
      <selection activeCell="A4" sqref="A1:M4"/>
    </sheetView>
  </sheetViews>
  <sheetFormatPr defaultColWidth="9.140625" defaultRowHeight="14.45"/>
  <cols>
    <col min="1" max="1" width="11.140625" style="4" bestFit="1" customWidth="1"/>
    <col min="2" max="13" width="4.7109375" style="3" customWidth="1"/>
    <col min="14" max="14" width="35.7109375" style="38" bestFit="1" customWidth="1"/>
    <col min="15" max="16384" width="9.140625" style="3"/>
  </cols>
  <sheetData>
    <row r="1" spans="1:14">
      <c r="A1" s="447" t="s">
        <v>2</v>
      </c>
      <c r="B1" s="450" t="s">
        <v>3</v>
      </c>
      <c r="C1" s="413"/>
      <c r="D1" s="413"/>
      <c r="E1" s="413"/>
      <c r="F1" s="413"/>
      <c r="G1" s="451"/>
      <c r="H1" s="450" t="s">
        <v>4</v>
      </c>
      <c r="I1" s="413"/>
      <c r="J1" s="413"/>
      <c r="K1" s="413"/>
      <c r="L1" s="413"/>
      <c r="M1" s="414"/>
    </row>
    <row r="2" spans="1:14" ht="15" customHeight="1">
      <c r="A2" s="448"/>
      <c r="B2" s="452" t="s">
        <v>5</v>
      </c>
      <c r="C2" s="453"/>
      <c r="D2" s="452" t="s">
        <v>6</v>
      </c>
      <c r="E2" s="453"/>
      <c r="F2" s="452" t="s">
        <v>7</v>
      </c>
      <c r="G2" s="453"/>
      <c r="H2" s="452" t="s">
        <v>5</v>
      </c>
      <c r="I2" s="453"/>
      <c r="J2" s="452" t="s">
        <v>6</v>
      </c>
      <c r="K2" s="453"/>
      <c r="L2" s="452" t="s">
        <v>7</v>
      </c>
      <c r="M2" s="454"/>
    </row>
    <row r="3" spans="1:14" ht="14.65" thickBot="1">
      <c r="A3" s="449"/>
      <c r="B3" s="7" t="s">
        <v>11</v>
      </c>
      <c r="C3" s="5" t="s">
        <v>12</v>
      </c>
      <c r="D3" s="7" t="s">
        <v>11</v>
      </c>
      <c r="E3" s="5" t="s">
        <v>12</v>
      </c>
      <c r="F3" s="7" t="s">
        <v>11</v>
      </c>
      <c r="G3" s="5" t="s">
        <v>12</v>
      </c>
      <c r="H3" s="7" t="s">
        <v>11</v>
      </c>
      <c r="I3" s="5" t="s">
        <v>12</v>
      </c>
      <c r="J3" s="7" t="s">
        <v>11</v>
      </c>
      <c r="K3" s="5" t="s">
        <v>12</v>
      </c>
      <c r="L3" s="7" t="s">
        <v>11</v>
      </c>
      <c r="M3" s="11" t="s">
        <v>12</v>
      </c>
    </row>
    <row r="4" spans="1:14">
      <c r="A4" s="34">
        <v>45377</v>
      </c>
      <c r="B4" s="35">
        <v>6</v>
      </c>
      <c r="C4" s="36">
        <v>1</v>
      </c>
      <c r="D4" s="35">
        <v>1</v>
      </c>
      <c r="E4" s="36">
        <v>1</v>
      </c>
      <c r="F4" s="35">
        <v>0</v>
      </c>
      <c r="G4" s="36">
        <v>0</v>
      </c>
      <c r="H4" s="35">
        <v>7</v>
      </c>
      <c r="I4" s="36">
        <v>6</v>
      </c>
      <c r="J4" s="35">
        <v>0</v>
      </c>
      <c r="K4" s="36">
        <v>1</v>
      </c>
      <c r="L4" s="35">
        <v>1</v>
      </c>
      <c r="M4" s="37">
        <v>3</v>
      </c>
      <c r="N4" s="38" t="s">
        <v>127</v>
      </c>
    </row>
    <row r="5" spans="1:14">
      <c r="A5" s="34"/>
      <c r="B5" s="35"/>
      <c r="C5" s="36"/>
      <c r="D5" s="35"/>
      <c r="E5" s="36"/>
      <c r="F5" s="35"/>
      <c r="G5" s="36"/>
      <c r="H5" s="35"/>
      <c r="I5" s="36"/>
      <c r="J5" s="35"/>
      <c r="K5" s="36"/>
      <c r="L5" s="35"/>
      <c r="M5" s="37"/>
    </row>
    <row r="6" spans="1:14">
      <c r="A6" s="34"/>
      <c r="B6" s="35"/>
      <c r="C6" s="36"/>
      <c r="D6" s="35"/>
      <c r="E6" s="36"/>
      <c r="F6" s="35"/>
      <c r="G6" s="36"/>
      <c r="H6" s="35"/>
      <c r="I6" s="36"/>
      <c r="J6" s="35"/>
      <c r="K6" s="36"/>
      <c r="L6" s="35"/>
      <c r="M6" s="37"/>
    </row>
    <row r="7" spans="1:14">
      <c r="A7" s="34"/>
      <c r="B7" s="35"/>
      <c r="C7" s="36"/>
      <c r="D7" s="35"/>
      <c r="E7" s="36"/>
      <c r="F7" s="35"/>
      <c r="G7" s="36"/>
      <c r="H7" s="35"/>
      <c r="I7" s="36"/>
      <c r="J7" s="35"/>
      <c r="K7" s="36"/>
      <c r="L7" s="35"/>
      <c r="M7" s="37"/>
    </row>
    <row r="8" spans="1:14">
      <c r="A8" s="34"/>
      <c r="B8" s="35"/>
      <c r="C8" s="36"/>
      <c r="D8" s="35"/>
      <c r="E8" s="36"/>
      <c r="F8" s="35"/>
      <c r="G8" s="36"/>
      <c r="H8" s="35"/>
      <c r="I8" s="36"/>
      <c r="J8" s="35"/>
      <c r="K8" s="36"/>
      <c r="L8" s="35"/>
      <c r="M8" s="37"/>
    </row>
    <row r="9" spans="1:14">
      <c r="A9" s="34"/>
      <c r="B9" s="35"/>
      <c r="C9" s="36"/>
      <c r="D9" s="35"/>
      <c r="E9" s="36"/>
      <c r="F9" s="35"/>
      <c r="G9" s="36"/>
      <c r="H9" s="35"/>
      <c r="I9" s="36"/>
      <c r="J9" s="35"/>
      <c r="K9" s="36"/>
      <c r="L9" s="35"/>
      <c r="M9" s="37"/>
    </row>
    <row r="10" spans="1:14">
      <c r="A10" s="34"/>
      <c r="B10" s="35"/>
      <c r="C10" s="36"/>
      <c r="D10" s="35"/>
      <c r="E10" s="36"/>
      <c r="F10" s="35"/>
      <c r="G10" s="36"/>
      <c r="H10" s="35"/>
      <c r="I10" s="36"/>
      <c r="J10" s="35"/>
      <c r="K10" s="36"/>
      <c r="L10" s="35"/>
      <c r="M10" s="37"/>
    </row>
    <row r="11" spans="1:14" hidden="1">
      <c r="A11" s="34"/>
      <c r="B11" s="35"/>
      <c r="C11" s="36"/>
      <c r="D11" s="35"/>
      <c r="E11" s="36"/>
      <c r="F11" s="35"/>
      <c r="G11" s="36"/>
      <c r="H11" s="35"/>
      <c r="I11" s="36"/>
      <c r="J11" s="35"/>
      <c r="K11" s="36"/>
      <c r="L11" s="35"/>
      <c r="M11" s="37"/>
    </row>
    <row r="12" spans="1:14" hidden="1">
      <c r="A12" s="34"/>
      <c r="B12" s="35"/>
      <c r="C12" s="36"/>
      <c r="D12" s="35"/>
      <c r="E12" s="36"/>
      <c r="F12" s="35"/>
      <c r="G12" s="36"/>
      <c r="H12" s="35"/>
      <c r="I12" s="36"/>
      <c r="J12" s="35"/>
      <c r="K12" s="36"/>
      <c r="L12" s="35"/>
      <c r="M12" s="37"/>
    </row>
    <row r="13" spans="1:14" hidden="1">
      <c r="A13" s="34"/>
      <c r="B13" s="35"/>
      <c r="C13" s="36"/>
      <c r="D13" s="35"/>
      <c r="E13" s="36"/>
      <c r="F13" s="35"/>
      <c r="G13" s="36"/>
      <c r="H13" s="35"/>
      <c r="I13" s="36"/>
      <c r="J13" s="35"/>
      <c r="K13" s="36"/>
      <c r="L13" s="35"/>
      <c r="M13" s="37"/>
    </row>
    <row r="14" spans="1:14" hidden="1">
      <c r="A14" s="34"/>
      <c r="B14" s="35"/>
      <c r="C14" s="36"/>
      <c r="D14" s="35"/>
      <c r="E14" s="36"/>
      <c r="F14" s="35"/>
      <c r="G14" s="36"/>
      <c r="H14" s="35"/>
      <c r="I14" s="36"/>
      <c r="J14" s="35"/>
      <c r="K14" s="36"/>
      <c r="L14" s="35"/>
      <c r="M14" s="37"/>
    </row>
    <row r="15" spans="1:14" hidden="1">
      <c r="A15" s="34"/>
      <c r="B15" s="35"/>
      <c r="C15" s="36"/>
      <c r="D15" s="35"/>
      <c r="E15" s="36"/>
      <c r="F15" s="35"/>
      <c r="G15" s="36"/>
      <c r="H15" s="35"/>
      <c r="I15" s="36"/>
      <c r="J15" s="35"/>
      <c r="K15" s="36"/>
      <c r="L15" s="35"/>
      <c r="M15" s="37"/>
    </row>
    <row r="16" spans="1:14" hidden="1">
      <c r="A16" s="34"/>
      <c r="B16" s="35"/>
      <c r="C16" s="36"/>
      <c r="D16" s="35"/>
      <c r="E16" s="36"/>
      <c r="F16" s="35"/>
      <c r="G16" s="36"/>
      <c r="H16" s="35"/>
      <c r="I16" s="36"/>
      <c r="J16" s="35"/>
      <c r="K16" s="36"/>
      <c r="L16" s="35"/>
      <c r="M16" s="37"/>
    </row>
    <row r="17" spans="1:13" hidden="1">
      <c r="A17" s="34"/>
      <c r="B17" s="35"/>
      <c r="C17" s="36"/>
      <c r="D17" s="35"/>
      <c r="E17" s="36"/>
      <c r="F17" s="35"/>
      <c r="G17" s="36"/>
      <c r="H17" s="35"/>
      <c r="I17" s="36"/>
      <c r="J17" s="35"/>
      <c r="K17" s="36"/>
      <c r="L17" s="35"/>
      <c r="M17" s="37"/>
    </row>
    <row r="18" spans="1:13" hidden="1">
      <c r="A18" s="34"/>
      <c r="B18" s="35"/>
      <c r="C18" s="36"/>
      <c r="D18" s="35"/>
      <c r="E18" s="36"/>
      <c r="F18" s="35"/>
      <c r="G18" s="36"/>
      <c r="H18" s="35"/>
      <c r="I18" s="36"/>
      <c r="J18" s="35"/>
      <c r="K18" s="36"/>
      <c r="L18" s="35"/>
      <c r="M18" s="37"/>
    </row>
    <row r="19" spans="1:13" hidden="1">
      <c r="A19" s="34"/>
      <c r="B19" s="35"/>
      <c r="C19" s="36"/>
      <c r="D19" s="35"/>
      <c r="E19" s="36"/>
      <c r="F19" s="35"/>
      <c r="G19" s="36"/>
      <c r="H19" s="35"/>
      <c r="I19" s="36"/>
      <c r="J19" s="35"/>
      <c r="K19" s="36"/>
      <c r="L19" s="35"/>
      <c r="M19" s="37"/>
    </row>
    <row r="20" spans="1:13">
      <c r="A20" s="34"/>
      <c r="B20" s="35"/>
      <c r="C20" s="36"/>
      <c r="D20" s="35"/>
      <c r="E20" s="36"/>
      <c r="F20" s="35"/>
      <c r="G20" s="36"/>
      <c r="H20" s="35"/>
      <c r="I20" s="36"/>
      <c r="J20" s="35"/>
      <c r="K20" s="36"/>
      <c r="L20" s="35"/>
      <c r="M20" s="37"/>
    </row>
    <row r="21" spans="1:13">
      <c r="A21" s="34"/>
      <c r="B21" s="35"/>
      <c r="C21" s="36"/>
      <c r="D21" s="35"/>
      <c r="E21" s="36"/>
      <c r="F21" s="35"/>
      <c r="G21" s="36"/>
      <c r="H21" s="35"/>
      <c r="I21" s="36"/>
      <c r="J21" s="35"/>
      <c r="K21" s="36"/>
      <c r="L21" s="35"/>
      <c r="M21" s="37"/>
    </row>
    <row r="22" spans="1:13">
      <c r="A22" s="34"/>
      <c r="B22" s="35"/>
      <c r="C22" s="36"/>
      <c r="D22" s="35"/>
      <c r="E22" s="36"/>
      <c r="F22" s="35"/>
      <c r="G22" s="36"/>
      <c r="H22" s="35"/>
      <c r="I22" s="36"/>
      <c r="J22" s="35"/>
      <c r="K22" s="36"/>
      <c r="L22" s="35"/>
      <c r="M22" s="37"/>
    </row>
    <row r="23" spans="1:13">
      <c r="A23" s="34"/>
      <c r="B23" s="35"/>
      <c r="C23" s="36"/>
      <c r="D23" s="35"/>
      <c r="E23" s="36"/>
      <c r="F23" s="35"/>
      <c r="G23" s="36"/>
      <c r="H23" s="35"/>
      <c r="I23" s="36"/>
      <c r="J23" s="35"/>
      <c r="K23" s="36"/>
      <c r="L23" s="35"/>
      <c r="M23" s="37"/>
    </row>
    <row r="24" spans="1:13">
      <c r="A24" s="34"/>
      <c r="B24" s="35"/>
      <c r="C24" s="36"/>
      <c r="D24" s="35"/>
      <c r="E24" s="36"/>
      <c r="F24" s="35"/>
      <c r="G24" s="36"/>
      <c r="H24" s="35"/>
      <c r="I24" s="36"/>
      <c r="J24" s="35"/>
      <c r="K24" s="36"/>
      <c r="L24" s="35"/>
      <c r="M24" s="37"/>
    </row>
    <row r="25" spans="1:13">
      <c r="A25" s="34"/>
      <c r="B25" s="35"/>
      <c r="C25" s="36"/>
      <c r="D25" s="35"/>
      <c r="E25" s="36"/>
      <c r="F25" s="35"/>
      <c r="G25" s="36"/>
      <c r="H25" s="35"/>
      <c r="I25" s="36"/>
      <c r="J25" s="35"/>
      <c r="K25" s="36"/>
      <c r="L25" s="35"/>
      <c r="M25" s="37"/>
    </row>
    <row r="26" spans="1:13">
      <c r="A26" s="13"/>
      <c r="B26" s="6"/>
      <c r="C26" s="33"/>
      <c r="D26" s="6"/>
      <c r="E26" s="33"/>
      <c r="F26" s="6"/>
      <c r="G26" s="33"/>
      <c r="H26" s="6"/>
      <c r="I26" s="33"/>
      <c r="J26" s="6"/>
      <c r="K26" s="33"/>
      <c r="L26" s="6"/>
      <c r="M26" s="247"/>
    </row>
    <row r="27" spans="1:13" ht="14.65" thickBot="1">
      <c r="A27" s="39" t="s">
        <v>24</v>
      </c>
      <c r="B27" s="40">
        <f t="shared" ref="B27:M27" si="0">SUM(B4:B26)</f>
        <v>6</v>
      </c>
      <c r="C27" s="41">
        <f t="shared" si="0"/>
        <v>1</v>
      </c>
      <c r="D27" s="40">
        <f t="shared" si="0"/>
        <v>1</v>
      </c>
      <c r="E27" s="41">
        <f t="shared" si="0"/>
        <v>1</v>
      </c>
      <c r="F27" s="40">
        <f t="shared" si="0"/>
        <v>0</v>
      </c>
      <c r="G27" s="41">
        <f t="shared" si="0"/>
        <v>0</v>
      </c>
      <c r="H27" s="40">
        <f t="shared" si="0"/>
        <v>7</v>
      </c>
      <c r="I27" s="41">
        <f t="shared" si="0"/>
        <v>6</v>
      </c>
      <c r="J27" s="40">
        <f t="shared" si="0"/>
        <v>0</v>
      </c>
      <c r="K27" s="41">
        <f t="shared" si="0"/>
        <v>1</v>
      </c>
      <c r="L27" s="40">
        <f t="shared" si="0"/>
        <v>1</v>
      </c>
      <c r="M27" s="42">
        <f t="shared" si="0"/>
        <v>3</v>
      </c>
    </row>
    <row r="28" spans="1:13" ht="14.65" thickBot="1">
      <c r="A28" s="14" t="s">
        <v>24</v>
      </c>
      <c r="B28" s="415">
        <f>SUM(B27:G27)</f>
        <v>9</v>
      </c>
      <c r="C28" s="415"/>
      <c r="D28" s="415"/>
      <c r="E28" s="415"/>
      <c r="F28" s="415"/>
      <c r="G28" s="445"/>
      <c r="H28" s="446">
        <f>SUM(H3:M26)</f>
        <v>18</v>
      </c>
      <c r="I28" s="415"/>
      <c r="J28" s="415"/>
      <c r="K28" s="415"/>
      <c r="L28" s="415"/>
      <c r="M28" s="416"/>
    </row>
    <row r="29" spans="1:13">
      <c r="A29" s="1"/>
      <c r="B29" s="2"/>
      <c r="C29" s="2"/>
      <c r="D29" s="2"/>
      <c r="E29" s="2"/>
      <c r="F29" s="2"/>
      <c r="G29" s="2"/>
      <c r="H29" s="2"/>
      <c r="I29" s="2"/>
      <c r="J29" s="2"/>
      <c r="K29" s="2"/>
      <c r="L29" s="2"/>
      <c r="M29" s="2"/>
    </row>
    <row r="30" spans="1:13">
      <c r="A30" s="1"/>
      <c r="B30" s="2"/>
      <c r="C30" s="2"/>
      <c r="D30" s="2"/>
      <c r="E30" s="2"/>
      <c r="F30" s="2"/>
      <c r="G30" s="2"/>
      <c r="H30" s="2"/>
      <c r="I30" s="2"/>
      <c r="J30" s="2"/>
      <c r="K30" s="2"/>
      <c r="L30" s="2"/>
      <c r="M30" s="2"/>
    </row>
    <row r="31" spans="1:13">
      <c r="A31" s="1"/>
      <c r="B31" s="2"/>
      <c r="C31" s="2"/>
      <c r="D31" s="2"/>
      <c r="E31" s="2"/>
      <c r="F31" s="2"/>
      <c r="G31" s="2"/>
      <c r="H31" s="2"/>
      <c r="I31" s="2"/>
      <c r="J31" s="2"/>
      <c r="K31" s="2"/>
      <c r="L31" s="2"/>
      <c r="M31" s="2"/>
    </row>
    <row r="32" spans="1:13">
      <c r="A32" s="1"/>
      <c r="B32" s="2"/>
      <c r="C32" s="2"/>
      <c r="D32" s="2"/>
      <c r="E32" s="2"/>
      <c r="F32" s="2"/>
      <c r="G32" s="2"/>
      <c r="H32" s="2"/>
      <c r="I32" s="2"/>
      <c r="J32" s="2"/>
      <c r="K32" s="2"/>
      <c r="L32" s="2"/>
      <c r="M32" s="2"/>
    </row>
    <row r="33" spans="1:14">
      <c r="A33" s="1"/>
      <c r="B33" s="2"/>
      <c r="C33" s="2"/>
      <c r="D33" s="2"/>
      <c r="E33" s="2"/>
      <c r="F33" s="2"/>
      <c r="G33" s="2"/>
      <c r="H33" s="2"/>
      <c r="I33" s="2"/>
      <c r="J33" s="2"/>
      <c r="K33" s="2"/>
      <c r="L33" s="2"/>
      <c r="M33" s="2"/>
    </row>
    <row r="34" spans="1:14" s="2" customFormat="1">
      <c r="A34" s="1"/>
      <c r="N34" s="38"/>
    </row>
    <row r="35" spans="1:14" s="2" customFormat="1">
      <c r="A35" s="1"/>
      <c r="N35" s="38"/>
    </row>
    <row r="36" spans="1:14" s="2" customFormat="1">
      <c r="A36" s="1"/>
      <c r="N36" s="38"/>
    </row>
    <row r="37" spans="1:14" s="2" customFormat="1">
      <c r="A37" s="1"/>
      <c r="N37" s="38"/>
    </row>
    <row r="38" spans="1:14" s="2" customFormat="1">
      <c r="A38" s="1"/>
      <c r="N38" s="38"/>
    </row>
    <row r="39" spans="1:14" s="2" customFormat="1">
      <c r="A39" s="1"/>
      <c r="N39" s="38"/>
    </row>
    <row r="40" spans="1:14" s="2" customFormat="1">
      <c r="A40" s="1"/>
      <c r="N40" s="38"/>
    </row>
    <row r="41" spans="1:14" s="2" customFormat="1">
      <c r="A41" s="1"/>
      <c r="N41" s="38"/>
    </row>
    <row r="42" spans="1:14" s="2" customFormat="1">
      <c r="A42" s="1"/>
      <c r="N42" s="38"/>
    </row>
    <row r="43" spans="1:14" s="2" customFormat="1">
      <c r="A43" s="1"/>
      <c r="N43" s="38"/>
    </row>
    <row r="44" spans="1:14" s="2" customFormat="1">
      <c r="A44" s="1"/>
      <c r="N44" s="38"/>
    </row>
    <row r="45" spans="1:14" s="2" customFormat="1">
      <c r="A45" s="1"/>
      <c r="N45" s="38"/>
    </row>
    <row r="46" spans="1:14" s="2" customFormat="1">
      <c r="A46" s="1"/>
      <c r="N46" s="38"/>
    </row>
    <row r="47" spans="1:14" s="2" customFormat="1">
      <c r="A47" s="1"/>
      <c r="N47" s="38"/>
    </row>
    <row r="48" spans="1:14" s="2" customFormat="1">
      <c r="A48" s="1"/>
      <c r="N48" s="38"/>
    </row>
    <row r="49" spans="1:14" s="2" customFormat="1">
      <c r="A49" s="1"/>
      <c r="N49" s="38"/>
    </row>
    <row r="50" spans="1:14" s="2" customFormat="1">
      <c r="A50" s="1"/>
      <c r="N50" s="38"/>
    </row>
    <row r="51" spans="1:14" s="2" customFormat="1">
      <c r="A51" s="1"/>
      <c r="N51" s="38"/>
    </row>
    <row r="52" spans="1:14" s="2" customFormat="1">
      <c r="A52" s="1"/>
      <c r="N52" s="38"/>
    </row>
    <row r="53" spans="1:14" s="2" customFormat="1">
      <c r="A53" s="4"/>
      <c r="B53" s="3"/>
      <c r="C53" s="3"/>
      <c r="D53" s="3"/>
      <c r="E53" s="3"/>
      <c r="F53" s="3"/>
      <c r="G53" s="3"/>
      <c r="H53" s="3"/>
      <c r="I53" s="3"/>
      <c r="J53" s="3"/>
      <c r="K53" s="3"/>
      <c r="L53" s="3"/>
      <c r="M53" s="3"/>
      <c r="N53" s="38"/>
    </row>
    <row r="54" spans="1:14" s="2" customFormat="1">
      <c r="A54" s="4"/>
      <c r="B54" s="3"/>
      <c r="C54" s="3"/>
      <c r="D54" s="3"/>
      <c r="E54" s="3"/>
      <c r="F54" s="3"/>
      <c r="G54" s="3"/>
      <c r="H54" s="3"/>
      <c r="I54" s="3"/>
      <c r="J54" s="3"/>
      <c r="K54" s="3"/>
      <c r="L54" s="3"/>
      <c r="M54" s="3"/>
      <c r="N54" s="38"/>
    </row>
    <row r="55" spans="1:14" s="2" customFormat="1">
      <c r="A55" s="4"/>
      <c r="B55" s="3"/>
      <c r="C55" s="3"/>
      <c r="D55" s="3"/>
      <c r="E55" s="3"/>
      <c r="F55" s="3"/>
      <c r="G55" s="3"/>
      <c r="H55" s="3"/>
      <c r="I55" s="3"/>
      <c r="J55" s="3"/>
      <c r="K55" s="3"/>
      <c r="L55" s="3"/>
      <c r="M55" s="3"/>
      <c r="N55" s="38"/>
    </row>
    <row r="56" spans="1:14" s="2" customFormat="1">
      <c r="A56" s="4"/>
      <c r="B56" s="3"/>
      <c r="C56" s="3"/>
      <c r="D56" s="3"/>
      <c r="E56" s="3"/>
      <c r="F56" s="3"/>
      <c r="G56" s="3"/>
      <c r="H56" s="3"/>
      <c r="I56" s="3"/>
      <c r="J56" s="3"/>
      <c r="K56" s="3"/>
      <c r="L56" s="3"/>
      <c r="M56" s="3"/>
      <c r="N56" s="38"/>
    </row>
    <row r="57" spans="1:14" s="2" customFormat="1">
      <c r="A57" s="4"/>
      <c r="B57" s="3"/>
      <c r="C57" s="3"/>
      <c r="D57" s="3"/>
      <c r="E57" s="3"/>
      <c r="F57" s="3"/>
      <c r="G57" s="3"/>
      <c r="H57" s="3"/>
      <c r="I57" s="3"/>
      <c r="J57" s="3"/>
      <c r="K57" s="3"/>
      <c r="L57" s="3"/>
      <c r="M57" s="3"/>
      <c r="N57" s="38"/>
    </row>
    <row r="58" spans="1:14" s="2" customFormat="1">
      <c r="A58" s="4"/>
      <c r="B58" s="3"/>
      <c r="C58" s="3"/>
      <c r="D58" s="3"/>
      <c r="E58" s="3"/>
      <c r="F58" s="3"/>
      <c r="G58" s="3"/>
      <c r="H58" s="3"/>
      <c r="I58" s="3"/>
      <c r="J58" s="3"/>
      <c r="K58" s="3"/>
      <c r="L58" s="3"/>
      <c r="M58" s="3"/>
      <c r="N58" s="38"/>
    </row>
    <row r="59" spans="1:14" s="2" customFormat="1">
      <c r="A59" s="4"/>
      <c r="B59" s="3"/>
      <c r="C59" s="3"/>
      <c r="D59" s="3"/>
      <c r="E59" s="3"/>
      <c r="F59" s="3"/>
      <c r="G59" s="3"/>
      <c r="H59" s="3"/>
      <c r="I59" s="3"/>
      <c r="J59" s="3"/>
      <c r="K59" s="3"/>
      <c r="L59" s="3"/>
      <c r="M59" s="3"/>
      <c r="N59" s="38"/>
    </row>
    <row r="60" spans="1:14" s="2" customFormat="1">
      <c r="A60" s="4"/>
      <c r="B60" s="3"/>
      <c r="C60" s="3"/>
      <c r="D60" s="3"/>
      <c r="E60" s="3"/>
      <c r="F60" s="3"/>
      <c r="G60" s="3"/>
      <c r="H60" s="3"/>
      <c r="I60" s="3"/>
      <c r="J60" s="3"/>
      <c r="K60" s="3"/>
      <c r="L60" s="3"/>
      <c r="M60" s="3"/>
      <c r="N60" s="38"/>
    </row>
  </sheetData>
  <mergeCells count="11">
    <mergeCell ref="B28:G28"/>
    <mergeCell ref="H28:M28"/>
    <mergeCell ref="A1:A3"/>
    <mergeCell ref="B1:G1"/>
    <mergeCell ref="H1:M1"/>
    <mergeCell ref="B2:C2"/>
    <mergeCell ref="D2:E2"/>
    <mergeCell ref="F2:G2"/>
    <mergeCell ref="H2:I2"/>
    <mergeCell ref="J2:K2"/>
    <mergeCell ref="L2:M2"/>
  </mergeCells>
  <pageMargins left="0.7" right="0.7" top="0.75" bottom="0.75" header="0.3" footer="0.3"/>
  <pageSetup orientation="landscape" horizontalDpi="4294967293" vertic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80"/>
  <sheetViews>
    <sheetView workbookViewId="0">
      <pane ySplit="1" topLeftCell="A2" activePane="bottomLeft" state="frozen"/>
      <selection pane="bottomLeft" activeCell="B2" sqref="B2:G2"/>
    </sheetView>
  </sheetViews>
  <sheetFormatPr defaultRowHeight="14.45"/>
  <cols>
    <col min="1" max="2" width="9.7109375" bestFit="1" customWidth="1"/>
    <col min="3" max="3" width="12" bestFit="1" customWidth="1"/>
    <col min="4" max="4" width="11.5703125" bestFit="1" customWidth="1"/>
    <col min="5" max="5" width="13.85546875" bestFit="1" customWidth="1"/>
    <col min="6" max="6" width="13.85546875" customWidth="1"/>
    <col min="8" max="8" width="19.140625" bestFit="1" customWidth="1"/>
    <col min="9" max="9" width="14.28515625" bestFit="1" customWidth="1"/>
    <col min="10" max="10" width="25.140625" bestFit="1" customWidth="1"/>
    <col min="12" max="12" width="8" bestFit="1" customWidth="1"/>
  </cols>
  <sheetData>
    <row r="1" spans="1:17" ht="14.65" thickBot="1">
      <c r="A1" s="169" t="s">
        <v>2</v>
      </c>
      <c r="B1" s="170" t="s">
        <v>128</v>
      </c>
      <c r="C1" s="170" t="s">
        <v>129</v>
      </c>
      <c r="D1" s="170" t="s">
        <v>130</v>
      </c>
      <c r="E1" s="170" t="s">
        <v>131</v>
      </c>
      <c r="F1" s="170" t="s">
        <v>132</v>
      </c>
      <c r="G1" s="170" t="s">
        <v>7</v>
      </c>
      <c r="H1" s="170" t="s">
        <v>133</v>
      </c>
      <c r="I1" s="170" t="s">
        <v>134</v>
      </c>
      <c r="J1" s="171" t="s">
        <v>106</v>
      </c>
      <c r="N1">
        <v>311</v>
      </c>
      <c r="O1">
        <v>124</v>
      </c>
      <c r="P1">
        <v>45</v>
      </c>
      <c r="Q1">
        <v>131</v>
      </c>
    </row>
    <row r="2" spans="1:17">
      <c r="A2" s="167">
        <v>45378</v>
      </c>
      <c r="B2" s="168">
        <v>5</v>
      </c>
      <c r="C2" s="168">
        <v>1</v>
      </c>
      <c r="D2" s="168">
        <v>7</v>
      </c>
      <c r="E2" s="168">
        <v>0</v>
      </c>
      <c r="F2" s="168">
        <v>0</v>
      </c>
      <c r="G2" s="168">
        <v>1</v>
      </c>
      <c r="H2" s="168" t="s">
        <v>135</v>
      </c>
      <c r="I2" s="168" t="s">
        <v>136</v>
      </c>
      <c r="J2" s="168"/>
    </row>
    <row r="3" spans="1:17">
      <c r="A3" s="28">
        <v>45377</v>
      </c>
      <c r="B3" s="27">
        <v>1</v>
      </c>
      <c r="C3" s="27">
        <v>0</v>
      </c>
      <c r="D3" s="27">
        <v>8</v>
      </c>
      <c r="E3" s="27">
        <v>0</v>
      </c>
      <c r="F3" s="27">
        <v>0</v>
      </c>
      <c r="G3" s="27">
        <v>0</v>
      </c>
      <c r="H3" s="27" t="s">
        <v>137</v>
      </c>
      <c r="I3" s="27"/>
      <c r="J3" s="27"/>
    </row>
    <row r="4" spans="1:17">
      <c r="A4" s="28">
        <v>45377</v>
      </c>
      <c r="B4" s="27">
        <v>1</v>
      </c>
      <c r="C4" s="27">
        <v>0</v>
      </c>
      <c r="D4" s="27">
        <v>0</v>
      </c>
      <c r="E4" s="27">
        <v>0</v>
      </c>
      <c r="F4" s="27">
        <v>0</v>
      </c>
      <c r="G4" s="27">
        <v>0</v>
      </c>
      <c r="H4" s="27" t="s">
        <v>138</v>
      </c>
      <c r="I4" s="27"/>
      <c r="J4" s="27" t="s">
        <v>139</v>
      </c>
    </row>
    <row r="5" spans="1:17">
      <c r="A5" s="28"/>
      <c r="B5" s="27"/>
      <c r="C5" s="27"/>
      <c r="D5" s="27"/>
      <c r="E5" s="27"/>
      <c r="F5" s="27"/>
      <c r="G5" s="27"/>
      <c r="H5" s="27"/>
      <c r="I5" s="27"/>
      <c r="J5" s="27"/>
    </row>
    <row r="6" spans="1:17">
      <c r="A6" s="28"/>
      <c r="B6" s="27"/>
      <c r="C6" s="27"/>
      <c r="D6" s="27"/>
      <c r="E6" s="27"/>
      <c r="F6" s="27"/>
      <c r="G6" s="27"/>
      <c r="H6" s="27"/>
      <c r="I6" s="27"/>
      <c r="J6" s="27"/>
    </row>
    <row r="7" spans="1:17">
      <c r="A7" s="28"/>
      <c r="B7" s="27"/>
      <c r="C7" s="27"/>
      <c r="D7" s="27"/>
      <c r="E7" s="27"/>
      <c r="F7" s="27"/>
      <c r="G7" s="27"/>
      <c r="H7" s="27"/>
      <c r="I7" s="27"/>
      <c r="J7" s="27"/>
    </row>
    <row r="8" spans="1:17">
      <c r="A8" s="28"/>
      <c r="B8" s="27"/>
      <c r="C8" s="27"/>
      <c r="D8" s="27"/>
      <c r="E8" s="27"/>
      <c r="F8" s="27"/>
      <c r="G8" s="27"/>
      <c r="H8" s="27"/>
      <c r="I8" s="27"/>
      <c r="J8" s="27"/>
    </row>
    <row r="9" spans="1:17">
      <c r="A9" s="28"/>
      <c r="B9" s="27"/>
      <c r="C9" s="27"/>
      <c r="D9" s="27"/>
      <c r="E9" s="27"/>
      <c r="F9" s="27"/>
      <c r="G9" s="27"/>
      <c r="H9" s="27"/>
      <c r="I9" s="27"/>
      <c r="J9" s="27"/>
    </row>
    <row r="10" spans="1:17">
      <c r="A10" s="28"/>
      <c r="B10" s="27"/>
      <c r="C10" s="27"/>
      <c r="D10" s="27"/>
      <c r="E10" s="27"/>
      <c r="F10" s="27"/>
      <c r="G10" s="27"/>
      <c r="H10" s="27"/>
      <c r="I10" s="27"/>
      <c r="J10" s="27"/>
    </row>
    <row r="11" spans="1:17">
      <c r="A11" s="28"/>
      <c r="B11" s="27"/>
      <c r="C11" s="27"/>
      <c r="D11" s="27"/>
      <c r="E11" s="27"/>
      <c r="F11" s="27"/>
      <c r="G11" s="27"/>
      <c r="H11" s="27"/>
      <c r="I11" s="27"/>
      <c r="J11" s="27"/>
    </row>
    <row r="12" spans="1:17">
      <c r="A12" s="28"/>
      <c r="B12" s="27"/>
      <c r="C12" s="27"/>
      <c r="D12" s="27"/>
      <c r="E12" s="27"/>
      <c r="F12" s="27"/>
      <c r="G12" s="27"/>
      <c r="H12" s="27"/>
      <c r="I12" s="27"/>
      <c r="J12" s="27"/>
    </row>
    <row r="13" spans="1:17">
      <c r="A13" s="28"/>
      <c r="B13" s="27"/>
      <c r="C13" s="27"/>
      <c r="D13" s="27"/>
      <c r="E13" s="27"/>
      <c r="F13" s="27"/>
      <c r="G13" s="27"/>
      <c r="H13" s="27"/>
      <c r="I13" s="27"/>
      <c r="J13" s="27"/>
    </row>
    <row r="14" spans="1:17">
      <c r="A14" s="28"/>
      <c r="B14" s="27"/>
      <c r="C14" s="27"/>
      <c r="D14" s="27"/>
      <c r="E14" s="27"/>
      <c r="F14" s="27"/>
      <c r="G14" s="27"/>
      <c r="H14" s="27"/>
      <c r="I14" s="27"/>
      <c r="J14" s="27"/>
    </row>
    <row r="15" spans="1:17">
      <c r="A15" s="28"/>
      <c r="B15" s="27"/>
      <c r="C15" s="27"/>
      <c r="D15" s="27"/>
      <c r="E15" s="27"/>
      <c r="F15" s="27"/>
      <c r="G15" s="27"/>
      <c r="H15" s="27"/>
      <c r="I15" s="27"/>
      <c r="J15" s="27"/>
    </row>
    <row r="16" spans="1:17">
      <c r="A16" s="28"/>
      <c r="B16" s="27"/>
      <c r="C16" s="27"/>
      <c r="D16" s="27"/>
      <c r="E16" s="27"/>
      <c r="F16" s="27"/>
      <c r="G16" s="27"/>
      <c r="H16" s="27"/>
      <c r="I16" s="27"/>
      <c r="J16" s="27"/>
    </row>
    <row r="17" spans="1:10">
      <c r="A17" s="28"/>
      <c r="B17" s="27"/>
      <c r="C17" s="27"/>
      <c r="D17" s="27"/>
      <c r="E17" s="27"/>
      <c r="F17" s="27"/>
      <c r="G17" s="27"/>
      <c r="H17" s="27"/>
      <c r="I17" s="27"/>
      <c r="J17" s="27"/>
    </row>
    <row r="18" spans="1:10">
      <c r="A18" s="28"/>
      <c r="B18" s="27"/>
      <c r="C18" s="27"/>
      <c r="D18" s="27"/>
      <c r="E18" s="27"/>
      <c r="F18" s="27"/>
      <c r="G18" s="27"/>
      <c r="H18" s="27"/>
      <c r="I18" s="27"/>
      <c r="J18" s="27"/>
    </row>
    <row r="19" spans="1:10">
      <c r="A19" s="28"/>
      <c r="B19" s="27"/>
      <c r="C19" s="27"/>
      <c r="D19" s="27"/>
      <c r="E19" s="27"/>
      <c r="F19" s="27"/>
      <c r="G19" s="27"/>
      <c r="H19" s="27"/>
      <c r="I19" s="27"/>
      <c r="J19" s="27"/>
    </row>
    <row r="20" spans="1:10">
      <c r="A20" s="28"/>
      <c r="B20" s="27"/>
      <c r="C20" s="27"/>
      <c r="D20" s="27"/>
      <c r="E20" s="27"/>
      <c r="F20" s="27"/>
      <c r="G20" s="27"/>
      <c r="H20" s="27"/>
      <c r="I20" s="27"/>
      <c r="J20" s="27"/>
    </row>
    <row r="21" spans="1:10">
      <c r="A21" s="28"/>
      <c r="B21" s="27"/>
      <c r="C21" s="27"/>
      <c r="D21" s="27"/>
      <c r="E21" s="27"/>
      <c r="F21" s="27"/>
      <c r="G21" s="27"/>
      <c r="H21" s="27"/>
      <c r="I21" s="27"/>
      <c r="J21" s="27"/>
    </row>
    <row r="22" spans="1:10">
      <c r="A22" s="28"/>
      <c r="B22" s="27"/>
      <c r="C22" s="27"/>
      <c r="D22" s="27"/>
      <c r="E22" s="27"/>
      <c r="F22" s="27"/>
      <c r="G22" s="27"/>
      <c r="H22" s="27"/>
      <c r="I22" s="27"/>
      <c r="J22" s="27"/>
    </row>
    <row r="23" spans="1:10">
      <c r="A23" s="28"/>
      <c r="B23" s="27"/>
      <c r="C23" s="27"/>
      <c r="D23" s="27"/>
      <c r="E23" s="27"/>
      <c r="F23" s="27"/>
      <c r="G23" s="27"/>
      <c r="H23" s="27"/>
      <c r="I23" s="27"/>
      <c r="J23" s="27"/>
    </row>
    <row r="24" spans="1:10">
      <c r="A24" s="28"/>
      <c r="B24" s="27"/>
      <c r="C24" s="27"/>
      <c r="D24" s="27"/>
      <c r="E24" s="27"/>
      <c r="F24" s="27"/>
      <c r="G24" s="27"/>
      <c r="H24" s="27"/>
      <c r="I24" s="27"/>
      <c r="J24" s="27"/>
    </row>
    <row r="25" spans="1:10">
      <c r="A25" s="28"/>
      <c r="B25" s="27"/>
      <c r="C25" s="27"/>
      <c r="D25" s="27"/>
      <c r="E25" s="27"/>
      <c r="F25" s="27"/>
      <c r="G25" s="27"/>
      <c r="H25" s="27"/>
      <c r="I25" s="27"/>
      <c r="J25" s="27"/>
    </row>
    <row r="26" spans="1:10">
      <c r="A26" s="28"/>
      <c r="B26" s="27"/>
      <c r="C26" s="27"/>
      <c r="D26" s="27"/>
      <c r="E26" s="27"/>
      <c r="F26" s="27"/>
      <c r="G26" s="27"/>
      <c r="H26" s="27"/>
      <c r="I26" s="27"/>
      <c r="J26" s="27"/>
    </row>
    <row r="27" spans="1:10">
      <c r="A27" s="28"/>
      <c r="B27" s="27"/>
      <c r="C27" s="27"/>
      <c r="D27" s="27"/>
      <c r="E27" s="27"/>
      <c r="F27" s="27"/>
      <c r="G27" s="27"/>
      <c r="H27" s="27"/>
      <c r="I27" s="27"/>
      <c r="J27" s="27"/>
    </row>
    <row r="28" spans="1:10">
      <c r="A28" s="28"/>
      <c r="B28" s="27"/>
      <c r="C28" s="27"/>
      <c r="D28" s="27"/>
      <c r="E28" s="27"/>
      <c r="F28" s="27"/>
      <c r="G28" s="27"/>
      <c r="H28" s="27"/>
      <c r="I28" s="27"/>
      <c r="J28" s="27"/>
    </row>
    <row r="29" spans="1:10">
      <c r="A29" s="28"/>
      <c r="B29" s="27"/>
      <c r="C29" s="27"/>
      <c r="D29" s="27"/>
      <c r="E29" s="27"/>
      <c r="F29" s="27"/>
      <c r="G29" s="27"/>
      <c r="H29" s="27"/>
      <c r="I29" s="27"/>
      <c r="J29" s="27"/>
    </row>
    <row r="30" spans="1:10">
      <c r="A30" s="28"/>
      <c r="B30" s="193"/>
      <c r="C30" s="193"/>
      <c r="D30" s="193"/>
      <c r="E30" s="193"/>
      <c r="F30" s="193"/>
      <c r="G30" s="193"/>
      <c r="H30" s="193"/>
      <c r="I30" s="27"/>
      <c r="J30" s="27"/>
    </row>
    <row r="31" spans="1:10">
      <c r="A31" s="28"/>
      <c r="B31" s="193"/>
      <c r="C31" s="193"/>
      <c r="D31" s="193"/>
      <c r="E31" s="193"/>
      <c r="F31" s="193"/>
      <c r="G31" s="193"/>
      <c r="H31" s="193"/>
      <c r="I31" s="27"/>
      <c r="J31" s="27"/>
    </row>
    <row r="32" spans="1:10">
      <c r="A32" s="28"/>
      <c r="B32" s="193"/>
      <c r="C32" s="193"/>
      <c r="D32" s="193"/>
      <c r="E32" s="193"/>
      <c r="F32" s="193"/>
      <c r="G32" s="193"/>
      <c r="H32" s="193"/>
      <c r="I32" s="27"/>
      <c r="J32" s="27"/>
    </row>
    <row r="33" spans="1:10">
      <c r="A33" s="28"/>
      <c r="B33" s="193"/>
      <c r="C33" s="193"/>
      <c r="D33" s="193"/>
      <c r="E33" s="193"/>
      <c r="F33" s="193"/>
      <c r="G33" s="193"/>
      <c r="H33" s="193"/>
      <c r="I33" s="27"/>
      <c r="J33" s="27"/>
    </row>
    <row r="34" spans="1:10">
      <c r="A34" s="28"/>
      <c r="B34" s="193"/>
      <c r="C34" s="193"/>
      <c r="D34" s="193"/>
      <c r="E34" s="193"/>
      <c r="F34" s="193"/>
      <c r="G34" s="193"/>
      <c r="H34" s="193"/>
      <c r="I34" s="27"/>
      <c r="J34" s="27"/>
    </row>
    <row r="35" spans="1:10">
      <c r="A35" s="28"/>
      <c r="B35" s="193"/>
      <c r="C35" s="193"/>
      <c r="D35" s="193"/>
      <c r="E35" s="193"/>
      <c r="F35" s="193"/>
      <c r="G35" s="193"/>
      <c r="H35" s="193"/>
      <c r="I35" s="27"/>
      <c r="J35" s="27"/>
    </row>
    <row r="36" spans="1:10">
      <c r="A36" s="28"/>
      <c r="B36" s="193"/>
      <c r="C36" s="193"/>
      <c r="D36" s="193"/>
      <c r="E36" s="193"/>
      <c r="F36" s="193"/>
      <c r="G36" s="193"/>
      <c r="H36" s="193"/>
      <c r="I36" s="27"/>
      <c r="J36" s="27"/>
    </row>
    <row r="37" spans="1:10">
      <c r="A37" s="28"/>
      <c r="B37" s="193"/>
      <c r="C37" s="193"/>
      <c r="D37" s="193"/>
      <c r="E37" s="193"/>
      <c r="F37" s="193"/>
      <c r="G37" s="193"/>
      <c r="H37" s="193"/>
      <c r="I37" s="27"/>
      <c r="J37" s="27"/>
    </row>
    <row r="38" spans="1:10">
      <c r="A38" s="28"/>
      <c r="B38" s="193"/>
      <c r="C38" s="193"/>
      <c r="D38" s="193"/>
      <c r="E38" s="193"/>
      <c r="F38" s="193"/>
      <c r="G38" s="193"/>
      <c r="H38" s="193"/>
      <c r="I38" s="27"/>
      <c r="J38" s="27"/>
    </row>
    <row r="39" spans="1:10">
      <c r="A39" s="28"/>
      <c r="B39" s="193"/>
      <c r="C39" s="193"/>
      <c r="D39" s="193"/>
      <c r="E39" s="193"/>
      <c r="F39" s="193"/>
      <c r="G39" s="193"/>
      <c r="H39" s="193"/>
      <c r="I39" s="27"/>
      <c r="J39" s="27"/>
    </row>
    <row r="40" spans="1:10">
      <c r="A40" s="28"/>
      <c r="B40" s="193"/>
      <c r="C40" s="193"/>
      <c r="D40" s="193"/>
      <c r="E40" s="193"/>
      <c r="F40" s="193"/>
      <c r="G40" s="193"/>
      <c r="H40" s="193"/>
      <c r="I40" s="27"/>
      <c r="J40" s="27"/>
    </row>
    <row r="41" spans="1:10">
      <c r="A41" s="28"/>
      <c r="B41" s="193"/>
      <c r="C41" s="193"/>
      <c r="D41" s="193"/>
      <c r="E41" s="193"/>
      <c r="F41" s="193"/>
      <c r="G41" s="193"/>
      <c r="H41" s="193"/>
      <c r="I41" s="27"/>
      <c r="J41" s="27"/>
    </row>
    <row r="42" spans="1:10">
      <c r="A42" s="28"/>
      <c r="B42" s="193"/>
      <c r="C42" s="193"/>
      <c r="D42" s="193"/>
      <c r="E42" s="193"/>
      <c r="F42" s="193"/>
      <c r="G42" s="193"/>
      <c r="H42" s="193"/>
      <c r="I42" s="27"/>
      <c r="J42" s="27"/>
    </row>
    <row r="43" spans="1:10">
      <c r="A43" s="28"/>
      <c r="B43" s="27"/>
      <c r="C43" s="27"/>
      <c r="D43" s="27"/>
      <c r="E43" s="27"/>
      <c r="F43" s="27"/>
      <c r="G43" s="27"/>
      <c r="H43" s="193"/>
      <c r="I43" s="27"/>
      <c r="J43" s="27"/>
    </row>
    <row r="44" spans="1:10">
      <c r="A44" s="28"/>
      <c r="B44" s="27"/>
      <c r="C44" s="27"/>
      <c r="D44" s="27"/>
      <c r="E44" s="27"/>
      <c r="F44" s="27"/>
      <c r="G44" s="27"/>
      <c r="H44" s="193"/>
      <c r="I44" s="27"/>
      <c r="J44" s="27"/>
    </row>
    <row r="45" spans="1:10">
      <c r="A45" s="28"/>
      <c r="B45" s="27"/>
      <c r="C45" s="27"/>
      <c r="D45" s="27"/>
      <c r="E45" s="27"/>
      <c r="F45" s="27"/>
      <c r="G45" s="27"/>
      <c r="H45" s="193"/>
      <c r="I45" s="27"/>
      <c r="J45" s="27"/>
    </row>
    <row r="46" spans="1:10">
      <c r="A46" s="28"/>
      <c r="B46" s="27"/>
      <c r="C46" s="27"/>
      <c r="D46" s="27"/>
      <c r="E46" s="27"/>
      <c r="F46" s="27"/>
      <c r="G46" s="27"/>
      <c r="H46" s="27"/>
      <c r="I46" s="27"/>
      <c r="J46" s="27"/>
    </row>
    <row r="47" spans="1:10">
      <c r="A47" s="28"/>
      <c r="B47" s="27"/>
      <c r="C47" s="27"/>
      <c r="D47" s="27"/>
      <c r="E47" s="27"/>
      <c r="F47" s="27"/>
      <c r="G47" s="27"/>
      <c r="H47" s="27"/>
      <c r="I47" s="27"/>
      <c r="J47" s="27"/>
    </row>
    <row r="48" spans="1:10">
      <c r="A48" s="28"/>
      <c r="B48" s="27"/>
      <c r="C48" s="27"/>
      <c r="D48" s="27"/>
      <c r="E48" s="27"/>
      <c r="F48" s="27"/>
      <c r="G48" s="27"/>
      <c r="H48" s="193"/>
      <c r="I48" s="27"/>
      <c r="J48" s="27"/>
    </row>
    <row r="49" spans="1:10">
      <c r="A49" s="28"/>
      <c r="B49" s="27"/>
      <c r="C49" s="27"/>
      <c r="D49" s="27"/>
      <c r="E49" s="27"/>
      <c r="F49" s="27"/>
      <c r="G49" s="27"/>
      <c r="H49" s="27"/>
      <c r="I49" s="27"/>
      <c r="J49" s="27"/>
    </row>
    <row r="50" spans="1:10">
      <c r="A50" s="28"/>
      <c r="B50" s="27"/>
      <c r="C50" s="27"/>
      <c r="D50" s="27"/>
      <c r="E50" s="27"/>
      <c r="F50" s="27"/>
      <c r="G50" s="27"/>
      <c r="H50" s="27"/>
      <c r="I50" s="27"/>
      <c r="J50" s="27"/>
    </row>
    <row r="51" spans="1:10">
      <c r="A51" s="28"/>
      <c r="B51" s="27"/>
      <c r="C51" s="27"/>
      <c r="D51" s="27"/>
      <c r="E51" s="27"/>
      <c r="F51" s="27"/>
      <c r="G51" s="27"/>
      <c r="H51" s="27"/>
      <c r="I51" s="27"/>
      <c r="J51" s="27"/>
    </row>
    <row r="52" spans="1:10">
      <c r="A52" s="28"/>
      <c r="B52" s="27"/>
      <c r="C52" s="27"/>
      <c r="D52" s="27"/>
      <c r="E52" s="27"/>
      <c r="F52" s="27"/>
      <c r="G52" s="27"/>
      <c r="H52" s="27"/>
      <c r="I52" s="27"/>
      <c r="J52" s="27"/>
    </row>
    <row r="53" spans="1:10">
      <c r="A53" s="28"/>
      <c r="B53" s="27"/>
      <c r="C53" s="27"/>
      <c r="D53" s="27"/>
      <c r="E53" s="27"/>
      <c r="F53" s="27"/>
      <c r="G53" s="27"/>
      <c r="H53" s="27"/>
      <c r="I53" s="27"/>
      <c r="J53" s="27"/>
    </row>
    <row r="54" spans="1:10">
      <c r="A54" s="28"/>
      <c r="B54" s="27"/>
      <c r="C54" s="27"/>
      <c r="D54" s="27"/>
      <c r="E54" s="27"/>
      <c r="F54" s="27"/>
      <c r="G54" s="27"/>
      <c r="H54" s="27"/>
      <c r="I54" s="27"/>
      <c r="J54" s="27"/>
    </row>
    <row r="55" spans="1:10">
      <c r="A55" s="28"/>
      <c r="B55" s="27"/>
      <c r="C55" s="27"/>
      <c r="D55" s="27"/>
      <c r="E55" s="27"/>
      <c r="F55" s="27"/>
      <c r="G55" s="27"/>
      <c r="H55" s="27"/>
      <c r="I55" s="27"/>
      <c r="J55" s="27"/>
    </row>
    <row r="56" spans="1:10">
      <c r="A56" s="28"/>
      <c r="B56" s="27"/>
      <c r="C56" s="27"/>
      <c r="D56" s="27"/>
      <c r="E56" s="27"/>
      <c r="F56" s="27"/>
      <c r="G56" s="27"/>
      <c r="H56" s="27"/>
      <c r="I56" s="27"/>
      <c r="J56" s="27"/>
    </row>
    <row r="57" spans="1:10">
      <c r="A57" s="28"/>
      <c r="B57" s="27"/>
      <c r="C57" s="27"/>
      <c r="D57" s="27"/>
      <c r="E57" s="27"/>
      <c r="F57" s="27"/>
      <c r="G57" s="27"/>
      <c r="H57" s="27"/>
      <c r="I57" s="27"/>
      <c r="J57" s="27"/>
    </row>
    <row r="58" spans="1:10">
      <c r="A58" s="28"/>
      <c r="B58" s="27"/>
      <c r="C58" s="27"/>
      <c r="D58" s="27"/>
      <c r="E58" s="27"/>
      <c r="F58" s="27"/>
      <c r="G58" s="27"/>
      <c r="H58" s="27"/>
      <c r="I58" s="27"/>
      <c r="J58" s="27"/>
    </row>
    <row r="59" spans="1:10">
      <c r="A59" s="28"/>
      <c r="B59" s="27"/>
      <c r="C59" s="27"/>
      <c r="D59" s="27"/>
      <c r="E59" s="27"/>
      <c r="F59" s="27"/>
      <c r="G59" s="27"/>
      <c r="H59" s="27"/>
      <c r="I59" s="27"/>
      <c r="J59" s="27"/>
    </row>
    <row r="60" spans="1:10">
      <c r="A60" s="28"/>
      <c r="B60" s="27"/>
      <c r="C60" s="27"/>
      <c r="D60" s="27"/>
      <c r="E60" s="27"/>
      <c r="F60" s="27"/>
      <c r="G60" s="27"/>
      <c r="H60" s="27"/>
      <c r="I60" s="27"/>
      <c r="J60" s="27"/>
    </row>
    <row r="61" spans="1:10">
      <c r="A61" s="28"/>
      <c r="B61" s="27"/>
      <c r="C61" s="27"/>
      <c r="D61" s="27"/>
      <c r="E61" s="27"/>
      <c r="F61" s="27"/>
      <c r="G61" s="27"/>
      <c r="H61" s="27"/>
      <c r="I61" s="27"/>
      <c r="J61" s="27"/>
    </row>
    <row r="62" spans="1:10">
      <c r="A62" s="28"/>
      <c r="B62" s="27"/>
      <c r="C62" s="27"/>
      <c r="D62" s="27"/>
      <c r="E62" s="27"/>
      <c r="F62" s="27"/>
      <c r="G62" s="27"/>
      <c r="H62" s="27"/>
      <c r="I62" s="27"/>
      <c r="J62" s="27"/>
    </row>
    <row r="63" spans="1:10">
      <c r="A63" s="28"/>
      <c r="B63" s="27"/>
      <c r="C63" s="27"/>
      <c r="D63" s="27"/>
      <c r="E63" s="27"/>
      <c r="F63" s="27"/>
      <c r="G63" s="27"/>
      <c r="H63" s="27"/>
      <c r="I63" s="27"/>
      <c r="J63" s="27"/>
    </row>
    <row r="64" spans="1:10">
      <c r="A64" s="28"/>
      <c r="B64" s="27"/>
      <c r="C64" s="27"/>
      <c r="D64" s="27"/>
      <c r="E64" s="27"/>
      <c r="F64" s="27"/>
      <c r="G64" s="27"/>
      <c r="H64" s="27"/>
      <c r="I64" s="27"/>
      <c r="J64" s="27"/>
    </row>
    <row r="65" spans="1:10">
      <c r="A65" s="28"/>
      <c r="B65" s="27"/>
      <c r="C65" s="27"/>
      <c r="D65" s="27"/>
      <c r="E65" s="27"/>
      <c r="F65" s="27"/>
      <c r="G65" s="27"/>
      <c r="H65" s="27"/>
      <c r="I65" s="27"/>
      <c r="J65" s="27"/>
    </row>
    <row r="66" spans="1:10">
      <c r="A66" s="28"/>
      <c r="B66" s="27"/>
      <c r="C66" s="27"/>
      <c r="D66" s="27"/>
      <c r="E66" s="27"/>
      <c r="F66" s="27"/>
      <c r="G66" s="27"/>
      <c r="H66" s="27"/>
      <c r="I66" s="27"/>
      <c r="J66" s="27"/>
    </row>
    <row r="67" spans="1:10">
      <c r="A67" s="28"/>
      <c r="B67" s="27"/>
      <c r="C67" s="27"/>
      <c r="D67" s="27"/>
      <c r="E67" s="27"/>
      <c r="F67" s="27"/>
      <c r="G67" s="27"/>
      <c r="H67" s="27"/>
      <c r="I67" s="27"/>
      <c r="J67" s="27"/>
    </row>
    <row r="68" spans="1:10">
      <c r="A68" s="28"/>
      <c r="B68" s="27"/>
      <c r="C68" s="27"/>
      <c r="D68" s="27"/>
      <c r="E68" s="27"/>
      <c r="F68" s="27"/>
      <c r="G68" s="27"/>
      <c r="H68" s="27"/>
      <c r="I68" s="27"/>
      <c r="J68" s="27"/>
    </row>
    <row r="69" spans="1:10">
      <c r="A69" s="28"/>
      <c r="B69" s="27"/>
      <c r="C69" s="27"/>
      <c r="D69" s="27"/>
      <c r="E69" s="27"/>
      <c r="F69" s="27"/>
      <c r="G69" s="27"/>
      <c r="H69" s="27"/>
      <c r="I69" s="27"/>
      <c r="J69" s="27"/>
    </row>
    <row r="70" spans="1:10">
      <c r="A70" s="28"/>
      <c r="B70" s="27"/>
      <c r="C70" s="27"/>
      <c r="D70" s="27"/>
      <c r="E70" s="27"/>
      <c r="F70" s="27"/>
      <c r="G70" s="27"/>
      <c r="H70" s="27"/>
      <c r="I70" s="27"/>
      <c r="J70" s="27"/>
    </row>
    <row r="71" spans="1:10">
      <c r="A71" s="28"/>
      <c r="B71" s="27"/>
      <c r="C71" s="27"/>
      <c r="D71" s="27"/>
      <c r="E71" s="27"/>
      <c r="F71" s="27"/>
      <c r="G71" s="27"/>
      <c r="H71" s="27"/>
      <c r="I71" s="27"/>
      <c r="J71" s="27"/>
    </row>
    <row r="72" spans="1:10">
      <c r="A72" s="28"/>
      <c r="B72" s="27"/>
      <c r="C72" s="27"/>
      <c r="D72" s="27"/>
      <c r="E72" s="27"/>
      <c r="F72" s="27"/>
      <c r="G72" s="27"/>
      <c r="H72" s="27"/>
      <c r="I72" s="27"/>
      <c r="J72" s="27"/>
    </row>
    <row r="73" spans="1:10">
      <c r="A73" s="28"/>
      <c r="B73" s="193"/>
      <c r="C73" s="193"/>
      <c r="D73" s="193"/>
      <c r="E73" s="193"/>
      <c r="F73" s="193"/>
      <c r="G73" s="193"/>
      <c r="H73" s="193"/>
      <c r="I73" s="27"/>
      <c r="J73" s="27"/>
    </row>
    <row r="74" spans="1:10">
      <c r="A74" s="28"/>
      <c r="B74" s="193"/>
      <c r="C74" s="193"/>
      <c r="D74" s="193"/>
      <c r="E74" s="193"/>
      <c r="F74" s="193"/>
      <c r="G74" s="193"/>
      <c r="H74" s="193"/>
      <c r="I74" s="27"/>
      <c r="J74" s="27"/>
    </row>
    <row r="75" spans="1:10">
      <c r="A75" s="28"/>
      <c r="B75" s="193"/>
      <c r="C75" s="193"/>
      <c r="D75" s="193"/>
      <c r="E75" s="193"/>
      <c r="F75" s="193"/>
      <c r="G75" s="193"/>
      <c r="H75" s="193"/>
      <c r="I75" s="27"/>
      <c r="J75" s="27"/>
    </row>
    <row r="76" spans="1:10">
      <c r="A76" s="28"/>
      <c r="B76" s="193"/>
      <c r="C76" s="193"/>
      <c r="D76" s="193"/>
      <c r="E76" s="193"/>
      <c r="F76" s="193"/>
      <c r="G76" s="193"/>
      <c r="H76" s="193"/>
      <c r="I76" s="27"/>
      <c r="J76" s="27"/>
    </row>
    <row r="77" spans="1:10">
      <c r="A77" s="28"/>
      <c r="B77" s="193"/>
      <c r="C77" s="193"/>
      <c r="D77" s="193"/>
      <c r="E77" s="193"/>
      <c r="F77" s="193"/>
      <c r="G77" s="193"/>
      <c r="H77" s="193"/>
      <c r="I77" s="27"/>
      <c r="J77" s="193"/>
    </row>
    <row r="78" spans="1:10">
      <c r="A78" s="28"/>
      <c r="B78" s="193"/>
      <c r="C78" s="193"/>
      <c r="D78" s="193"/>
      <c r="E78" s="193"/>
      <c r="F78" s="193"/>
      <c r="G78" s="193"/>
      <c r="H78" s="193"/>
      <c r="I78" s="27"/>
      <c r="J78" s="193"/>
    </row>
    <row r="79" spans="1:10">
      <c r="A79" s="28"/>
      <c r="B79" s="193"/>
      <c r="C79" s="193"/>
      <c r="D79" s="193"/>
      <c r="E79" s="193"/>
      <c r="F79" s="193"/>
      <c r="G79" s="193"/>
      <c r="H79" s="193"/>
      <c r="I79" s="27"/>
      <c r="J79" s="27"/>
    </row>
    <row r="80" spans="1:10">
      <c r="A80" s="194"/>
      <c r="B80" s="210"/>
      <c r="C80" s="210"/>
      <c r="D80" s="210"/>
      <c r="E80" s="210"/>
      <c r="F80" s="210"/>
      <c r="G80" s="210"/>
      <c r="H80" s="210"/>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817079FED5BE4299431E3C640ED594" ma:contentTypeVersion="9" ma:contentTypeDescription="Create a new document." ma:contentTypeScope="" ma:versionID="ea23e68aa8f3f455f827321af1939322">
  <xsd:schema xmlns:xsd="http://www.w3.org/2001/XMLSchema" xmlns:xs="http://www.w3.org/2001/XMLSchema" xmlns:p="http://schemas.microsoft.com/office/2006/metadata/properties" xmlns:ns2="b3f550a7-b0fb-4d6c-ba19-fd89c043d7b7" xmlns:ns3="c05024fc-2475-4c64-9c56-31f6b59430b1" targetNamespace="http://schemas.microsoft.com/office/2006/metadata/properties" ma:root="true" ma:fieldsID="6783f02ec1c09fd96fce2e0048a78ada" ns2:_="" ns3:_="">
    <xsd:import namespace="b3f550a7-b0fb-4d6c-ba19-fd89c043d7b7"/>
    <xsd:import namespace="c05024fc-2475-4c64-9c56-31f6b59430b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f550a7-b0fb-4d6c-ba19-fd89c043d7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5024fc-2475-4c64-9c56-31f6b59430b1"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302F32D1-3D79-4169-8FCF-F964B10CA217}"/>
</file>

<file path=customXml/itemProps2.xml><?xml version="1.0" encoding="utf-8"?>
<ds:datastoreItem xmlns:ds="http://schemas.openxmlformats.org/officeDocument/2006/customXml" ds:itemID="{9469DC4C-8770-4616-AA85-C2A491666CCB}"/>
</file>

<file path=customXml/itemProps3.xml><?xml version="1.0" encoding="utf-8"?>
<ds:datastoreItem xmlns:ds="http://schemas.openxmlformats.org/officeDocument/2006/customXml" ds:itemID="{A16762C0-613C-49FC-B3E9-9F1ECDF2A82D}"/>
</file>

<file path=customXml/itemProps4.xml><?xml version="1.0" encoding="utf-8"?>
<ds:datastoreItem xmlns:ds="http://schemas.openxmlformats.org/officeDocument/2006/customXml" ds:itemID="{96C88CB2-D226-45E3-A367-C0E7712F5BE0}"/>
</file>

<file path=docProps/app.xml><?xml version="1.0" encoding="utf-8"?>
<Properties xmlns="http://schemas.openxmlformats.org/officeDocument/2006/extended-properties" xmlns:vt="http://schemas.openxmlformats.org/officeDocument/2006/docPropsVTypes">
  <Application>Microsoft Excel Online</Application>
  <Manager/>
  <Company>National Park Service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Angela Stewart</dc:creator>
  <cp:keywords/>
  <dc:description/>
  <cp:lastModifiedBy/>
  <cp:revision/>
  <dcterms:created xsi:type="dcterms:W3CDTF">2013-10-23T21:06:13Z</dcterms:created>
  <dcterms:modified xsi:type="dcterms:W3CDTF">2025-12-01T23:58:45Z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0x010100C3817079FED5BE4299431E3C640ED594</vt:lpwstr>
  </property>
</Properties>
</file>